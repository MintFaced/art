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gend" sheetId="1" r:id="rId5"/>
    <sheet state="visible" name="Two Burdens" sheetId="2" r:id="rId6"/>
    <sheet state="visible" name="Artificial Flowers" sheetId="3" r:id="rId7"/>
    <sheet state="visible" name="PixelArcade" sheetId="4" r:id="rId8"/>
    <sheet state="visible" name="FROGDNA" sheetId="5" r:id="rId9"/>
    <sheet state="visible" name="Recent Work" sheetId="6" r:id="rId10"/>
  </sheets>
  <definedNames/>
  <calcPr/>
</workbook>
</file>

<file path=xl/sharedStrings.xml><?xml version="1.0" encoding="utf-8"?>
<sst xmlns="http://schemas.openxmlformats.org/spreadsheetml/2006/main" count="840" uniqueCount="298">
  <si>
    <t>MintFace painting pricing + dimensions</t>
  </si>
  <si>
    <t>Yellow cells are yours. Grey came from catalog.json (rebuild branch, fetched 16 Aug 2026).</t>
  </si>
  <si>
    <t>Prices in NZD, numbers only. Acquired works need no prices... dimensions optional for the record.</t>
  </si>
  <si>
    <t>Listed ETH: live listing prices are off-chain orders (OpenSea/Foundation)... blank here. Fill by hand or have Claude Code pull them with an OpenSea API key. Listed On shows the platform where the catalog knows of a listing.</t>
  </si>
  <si>
    <t>Recent Work sheet: blank rows for new paintings, add freely.</t>
  </si>
  <si>
    <t>ID</t>
  </si>
  <si>
    <t>When done: drop in the repo, tell Claude Code "Import painting-pricing.xlsx into catalog pricing_nzd and physical fields."</t>
  </si>
  <si>
    <t>Example:</t>
  </si>
  <si>
    <t>Title</t>
  </si>
  <si>
    <t>Status</t>
  </si>
  <si>
    <t>Collector</t>
  </si>
  <si>
    <t>Listed On</t>
  </si>
  <si>
    <t>Listed ETH</t>
  </si>
  <si>
    <t>Price NZD Digital</t>
  </si>
  <si>
    <t>Price NZD Painting</t>
  </si>
  <si>
    <t>Price NZD Both</t>
  </si>
  <si>
    <t>Width cm</t>
  </si>
  <si>
    <t>Height cm</t>
  </si>
  <si>
    <t>Depth cm</t>
  </si>
  <si>
    <t>Ready to Hang (Y/N)</t>
  </si>
  <si>
    <t>Framed (Y/N)</t>
  </si>
  <si>
    <t>Certificate (Y/N)</t>
  </si>
  <si>
    <t>Already with Collector (Y/N)</t>
  </si>
  <si>
    <t>Notes</t>
  </si>
  <si>
    <t>two-burdens-35</t>
  </si>
  <si>
    <t>Ghost</t>
  </si>
  <si>
    <t>available</t>
  </si>
  <si>
    <t>two-burdens-1</t>
  </si>
  <si>
    <t>artificial-flowers-1</t>
  </si>
  <si>
    <t>pixelarcade-1</t>
  </si>
  <si>
    <t>Y</t>
  </si>
  <si>
    <t>N</t>
  </si>
  <si>
    <t>New Season</t>
  </si>
  <si>
    <t>wired for hanging</t>
  </si>
  <si>
    <t>Eight-Bit Study No. 1</t>
  </si>
  <si>
    <t>Chromatic Symphony</t>
  </si>
  <si>
    <t>acquired</t>
  </si>
  <si>
    <t>jonnypickles.eth</t>
  </si>
  <si>
    <t>two-burdens-2</t>
  </si>
  <si>
    <t>Aquatic Reflections</t>
  </si>
  <si>
    <t>davidkibler.eth</t>
  </si>
  <si>
    <t>two-burdens-3</t>
  </si>
  <si>
    <t>Memento Selfie</t>
  </si>
  <si>
    <t>dsanches-vault.eth</t>
  </si>
  <si>
    <t>two-burdens-4</t>
  </si>
  <si>
    <t>Underwater</t>
  </si>
  <si>
    <t>0x5683Fb02</t>
  </si>
  <si>
    <t>two-burdens-5</t>
  </si>
  <si>
    <t>Through the Forest</t>
  </si>
  <si>
    <t>vaulted</t>
  </si>
  <si>
    <t>two-burdens-6</t>
  </si>
  <si>
    <t>Fallout</t>
  </si>
  <si>
    <t>two-burdens-7</t>
  </si>
  <si>
    <t>Laceration</t>
  </si>
  <si>
    <t>0x974c1660</t>
  </si>
  <si>
    <t>two-burdens-8</t>
  </si>
  <si>
    <t>Beyond the Meadow</t>
  </si>
  <si>
    <t>pixelarcade-2</t>
  </si>
  <si>
    <t>Eight-Bit Study No. 2</t>
  </si>
  <si>
    <t>firstladyart.eth</t>
  </si>
  <si>
    <t>artificial-flowers-2</t>
  </si>
  <si>
    <t>Banana Zone</t>
  </si>
  <si>
    <t>pixelarcade-3</t>
  </si>
  <si>
    <t>two-burdens-9</t>
  </si>
  <si>
    <t>Eight-Bit Study No. 3</t>
  </si>
  <si>
    <t>Salvation</t>
  </si>
  <si>
    <t>pixelarcade-4</t>
  </si>
  <si>
    <t>Eight-Bit Study No. 4</t>
  </si>
  <si>
    <t>two-burdens-10</t>
  </si>
  <si>
    <t>Obsidian Light</t>
  </si>
  <si>
    <t>0xD0fEfEE5</t>
  </si>
  <si>
    <t>artificial-flowers-3</t>
  </si>
  <si>
    <t>Monet Fireworks</t>
  </si>
  <si>
    <t>K Jensen</t>
  </si>
  <si>
    <t>pixelarcade-5</t>
  </si>
  <si>
    <t>Eight-Bit Study No. 5</t>
  </si>
  <si>
    <t>two-burdens-11</t>
  </si>
  <si>
    <t>J Life</t>
  </si>
  <si>
    <t>mintestate.eth</t>
  </si>
  <si>
    <t>artificial-flowers-4</t>
  </si>
  <si>
    <t>Stems</t>
  </si>
  <si>
    <t>pixelarcade-6</t>
  </si>
  <si>
    <t>Eight-Bit Study No. 6</t>
  </si>
  <si>
    <t>two-burdens-12</t>
  </si>
  <si>
    <t>Division</t>
  </si>
  <si>
    <t>0x2BE9F18c</t>
  </si>
  <si>
    <t>pixelarcade-7</t>
  </si>
  <si>
    <t>Eight-Bit Study No. 7</t>
  </si>
  <si>
    <t>artificial-flowers-5</t>
  </si>
  <si>
    <t>Night Bloom</t>
  </si>
  <si>
    <t>two-burdens-13</t>
  </si>
  <si>
    <t>Seethe</t>
  </si>
  <si>
    <t>artificial-flowers-6</t>
  </si>
  <si>
    <t>Poison Neon</t>
  </si>
  <si>
    <t>Liza</t>
  </si>
  <si>
    <t>pixelarcade-8</t>
  </si>
  <si>
    <t>Eight-Bit Study No. 8</t>
  </si>
  <si>
    <t>two-burdens-14</t>
  </si>
  <si>
    <t>Ten Rounds</t>
  </si>
  <si>
    <t>pixelarcade-9</t>
  </si>
  <si>
    <t>two-burdens-15</t>
  </si>
  <si>
    <t>Eight-Bit Study No. 9</t>
  </si>
  <si>
    <t>Voyage Ahead</t>
  </si>
  <si>
    <t>artificial-flowers-7</t>
  </si>
  <si>
    <t>Fallen Petals</t>
  </si>
  <si>
    <t>two-burdens-16</t>
  </si>
  <si>
    <t>Safe Harbour</t>
  </si>
  <si>
    <t>pixelarcade-10</t>
  </si>
  <si>
    <t>Eight-Bit Study No. 10</t>
  </si>
  <si>
    <t>apocalypseart.eth</t>
  </si>
  <si>
    <t>two-burdens-17</t>
  </si>
  <si>
    <t>pixelarcade-11</t>
  </si>
  <si>
    <t>Do Not Pass</t>
  </si>
  <si>
    <t>Eight-Bit Study No. 11</t>
  </si>
  <si>
    <t>lostwisdom.eth</t>
  </si>
  <si>
    <t>artificial-flowers-8</t>
  </si>
  <si>
    <t>Pollen Hazard</t>
  </si>
  <si>
    <t>giopetto.eth</t>
  </si>
  <si>
    <t>two-burdens-18</t>
  </si>
  <si>
    <t>artificial-flowers-9</t>
  </si>
  <si>
    <t>pixelarcade-12</t>
  </si>
  <si>
    <t>Mutually Assured</t>
  </si>
  <si>
    <t>One Lily</t>
  </si>
  <si>
    <t>Eight-Bit Study No. 12</t>
  </si>
  <si>
    <t>artificial-flowers-10</t>
  </si>
  <si>
    <t>Coral</t>
  </si>
  <si>
    <t>two-burdens-19</t>
  </si>
  <si>
    <t>pixelarcade-13</t>
  </si>
  <si>
    <t>Silenced</t>
  </si>
  <si>
    <t>Eight-Bit Study No. 13</t>
  </si>
  <si>
    <t>pixelarcade-14</t>
  </si>
  <si>
    <t>Eight-Bit Study No. 14</t>
  </si>
  <si>
    <t>two-burdens-20</t>
  </si>
  <si>
    <t>no physical available</t>
  </si>
  <si>
    <t>Untitled I</t>
  </si>
  <si>
    <t>artificial-flowers-11</t>
  </si>
  <si>
    <t>Pond Bloom</t>
  </si>
  <si>
    <t>pixelarcade-15</t>
  </si>
  <si>
    <t>Eight-Bit Study No. 15</t>
  </si>
  <si>
    <t>artificial-flowers-12</t>
  </si>
  <si>
    <t>two-burdens-21</t>
  </si>
  <si>
    <t>Forest Fauna</t>
  </si>
  <si>
    <t>Untitled II</t>
  </si>
  <si>
    <t>0x69c144D5</t>
  </si>
  <si>
    <t>pixelarcade-16</t>
  </si>
  <si>
    <t>Eight-Bit Study No. 16</t>
  </si>
  <si>
    <t>artificial-flowers-13</t>
  </si>
  <si>
    <t>Water Feature</t>
  </si>
  <si>
    <t>two-burdens-22</t>
  </si>
  <si>
    <t>Untitled III</t>
  </si>
  <si>
    <t>burnasso.eth</t>
  </si>
  <si>
    <t>artificial-flowers-14</t>
  </si>
  <si>
    <t>pixelarcade-17</t>
  </si>
  <si>
    <t>Autumn Shift</t>
  </si>
  <si>
    <t>Eight-Bit Study No. 17</t>
  </si>
  <si>
    <t>two-burdens-23</t>
  </si>
  <si>
    <t>The Grotto</t>
  </si>
  <si>
    <t>artificial-flowers-15</t>
  </si>
  <si>
    <t>Daffodils</t>
  </si>
  <si>
    <t>two-burdens-24</t>
  </si>
  <si>
    <t>Derision</t>
  </si>
  <si>
    <t>artificial-flowers-16</t>
  </si>
  <si>
    <t>Flax Feeding Season</t>
  </si>
  <si>
    <t>two-burdens-25</t>
  </si>
  <si>
    <t>The Highwayman</t>
  </si>
  <si>
    <t>artificial-flowers-17</t>
  </si>
  <si>
    <t>Solar Reaching</t>
  </si>
  <si>
    <t>two-burdens-26</t>
  </si>
  <si>
    <t>Antipodal Familia</t>
  </si>
  <si>
    <t>pixelarcade-18</t>
  </si>
  <si>
    <t>Sixteen-Bit Composition I</t>
  </si>
  <si>
    <t>artificial-flowers-18</t>
  </si>
  <si>
    <t>two-burdens-27</t>
  </si>
  <si>
    <t>Lifespan</t>
  </si>
  <si>
    <t>The Map</t>
  </si>
  <si>
    <t>pixelarcade-19</t>
  </si>
  <si>
    <t>Sixteen-Bit Composition II</t>
  </si>
  <si>
    <t>two-burdens-28</t>
  </si>
  <si>
    <t>Windflower</t>
  </si>
  <si>
    <t>artificial-flowers-19</t>
  </si>
  <si>
    <t>Noise Flowers</t>
  </si>
  <si>
    <t>pixelarcade-20</t>
  </si>
  <si>
    <t>Sixteen-Bit Composition III</t>
  </si>
  <si>
    <t>two-burdens-29</t>
  </si>
  <si>
    <t>artificial-flowers-20</t>
  </si>
  <si>
    <t>Model Son</t>
  </si>
  <si>
    <t>Shanshui (山水)</t>
  </si>
  <si>
    <t>pixelarcade-21</t>
  </si>
  <si>
    <t>Sixteen-Bit Composition IV</t>
  </si>
  <si>
    <t>artificial-flowers-21</t>
  </si>
  <si>
    <t>Firmware for Nectar</t>
  </si>
  <si>
    <t>two-burdens-30</t>
  </si>
  <si>
    <t>St. Peters Queue</t>
  </si>
  <si>
    <t>artificial-flowers-22</t>
  </si>
  <si>
    <t>pixelarcade-22</t>
  </si>
  <si>
    <t>Re: Growth</t>
  </si>
  <si>
    <t>Sixteen-Bit Composition V</t>
  </si>
  <si>
    <t>two-burdens-31</t>
  </si>
  <si>
    <t>The Hydra</t>
  </si>
  <si>
    <t>_xo.eth</t>
  </si>
  <si>
    <t>pixelarcade-23</t>
  </si>
  <si>
    <t>Sixteen-Bit Composition VI</t>
  </si>
  <si>
    <t>two-burdens-32</t>
  </si>
  <si>
    <t>Dusk on Mars</t>
  </si>
  <si>
    <t>pixelarcade-24</t>
  </si>
  <si>
    <t>Sixteen-Bit Composition VII</t>
  </si>
  <si>
    <t>two-burdens-33</t>
  </si>
  <si>
    <t>Cascade</t>
  </si>
  <si>
    <t>0xC73Ffb72</t>
  </si>
  <si>
    <t>pixelarcade-25</t>
  </si>
  <si>
    <t>Sixteen-Bit Composition VIII</t>
  </si>
  <si>
    <t>two-burdens-34</t>
  </si>
  <si>
    <t>Reunion</t>
  </si>
  <si>
    <t>pixelarcade-26</t>
  </si>
  <si>
    <t>Sixteen-Bit Composition IX</t>
  </si>
  <si>
    <t>pixelarcade-27</t>
  </si>
  <si>
    <t>Sixteen-Bit Composition X</t>
  </si>
  <si>
    <t>two-burdens-36</t>
  </si>
  <si>
    <t>Everglade Sunset &amp; Self</t>
  </si>
  <si>
    <t>pixelarcade-28</t>
  </si>
  <si>
    <t>Sixteen-Bit Composition XI</t>
  </si>
  <si>
    <t>pixelarcade-29</t>
  </si>
  <si>
    <t>Sixteen-Bit Composition XII</t>
  </si>
  <si>
    <t>frogdna-1</t>
  </si>
  <si>
    <t>pixelarcade-30</t>
  </si>
  <si>
    <t>Sixteen-Bit Composition XIII</t>
  </si>
  <si>
    <t>FROGDNA</t>
  </si>
  <si>
    <t>S &amp; A Novak</t>
  </si>
  <si>
    <t>pixelarcade-31</t>
  </si>
  <si>
    <t>Sixteen-Bit Composition XIV</t>
  </si>
  <si>
    <t>pixelarcade-32</t>
  </si>
  <si>
    <t>Sixteen-Bit Composition XV</t>
  </si>
  <si>
    <t>1/1 physical, 88 digital editions</t>
  </si>
  <si>
    <t>pixelarcade-33</t>
  </si>
  <si>
    <t>Sixteen-Bit Composition XVI</t>
  </si>
  <si>
    <t>pixelarcade-34</t>
  </si>
  <si>
    <t>Sixteen-Bit Composition XVII</t>
  </si>
  <si>
    <t>pixelarcade-35</t>
  </si>
  <si>
    <t>Sixteen-Bit Composition XVIII</t>
  </si>
  <si>
    <t>pixelarcade-36</t>
  </si>
  <si>
    <t>Sixteen-Bit Composition XIX</t>
  </si>
  <si>
    <t>pixelarcade-37</t>
  </si>
  <si>
    <t>Sixteen-Bit Composition XX</t>
  </si>
  <si>
    <t>pixelarcade-38</t>
  </si>
  <si>
    <t>Sixteen-Bit Composition XXI</t>
  </si>
  <si>
    <t>pixelarcade-39</t>
  </si>
  <si>
    <t>Sixteen-Bit Composition XXII</t>
  </si>
  <si>
    <t>pixelarcade-40</t>
  </si>
  <si>
    <t>Sixteen-Bit Composition XXIII</t>
  </si>
  <si>
    <t>pixelarcade-41</t>
  </si>
  <si>
    <t>Sixteen-Bit Composition XXIV</t>
  </si>
  <si>
    <t>pixelarcade-42</t>
  </si>
  <si>
    <t>Sixteen-Bit Composition XXV</t>
  </si>
  <si>
    <t>pixelarcade-43</t>
  </si>
  <si>
    <t>Sixteen-Bit Composition XXVI</t>
  </si>
  <si>
    <t>pixelarcade-44</t>
  </si>
  <si>
    <t>Sixteen-Bit Composition XXVII</t>
  </si>
  <si>
    <t>pixelarcade-45</t>
  </si>
  <si>
    <t>Sixteen-Bit Composition XXVIII</t>
  </si>
  <si>
    <t>pixelarcade-46</t>
  </si>
  <si>
    <t>Thirty-Two-Bit Tableau I</t>
  </si>
  <si>
    <t>pixelarcade-47</t>
  </si>
  <si>
    <t>Thirty-Two-Bit Tableau II</t>
  </si>
  <si>
    <t>pixelarcade-48</t>
  </si>
  <si>
    <t>Thirty-Two-Bit Tableau III</t>
  </si>
  <si>
    <t>pixelarcade-49</t>
  </si>
  <si>
    <t>Thirty-Two-Bit Tableau IV</t>
  </si>
  <si>
    <t>pixelarcade-50</t>
  </si>
  <si>
    <t>Thirty-Two-Bit Tableau V</t>
  </si>
  <si>
    <t>pixelarcade-51</t>
  </si>
  <si>
    <t>Thirty-Two-Bit Tableau VI</t>
  </si>
  <si>
    <t>pixelarcade-52</t>
  </si>
  <si>
    <t>Thirty-Two-Bit Tableau VII</t>
  </si>
  <si>
    <t>pixelarcade-53</t>
  </si>
  <si>
    <t>Thirty-Two-Bit Tableau VIII</t>
  </si>
  <si>
    <t>pixelarcade-54</t>
  </si>
  <si>
    <t>Thirty-Two-Bit Tableau IX</t>
  </si>
  <si>
    <t>pixelarcade-55</t>
  </si>
  <si>
    <t>Thirty-Two-Bit Tableau X</t>
  </si>
  <si>
    <t>pixelarcade-56</t>
  </si>
  <si>
    <t>Thirty-Two-Bit Tableau XI</t>
  </si>
  <si>
    <t>pixelarcade-57</t>
  </si>
  <si>
    <t>Thirty-Two-Bit Tableau XII</t>
  </si>
  <si>
    <t>pixelarcade-58</t>
  </si>
  <si>
    <t>Thirty-Two-Bit Tableau XIII</t>
  </si>
  <si>
    <t>0xunix.eth</t>
  </si>
  <si>
    <t>pixelarcade-59</t>
  </si>
  <si>
    <t>Thirty-Two-Bit Tableau XIV</t>
  </si>
  <si>
    <t>pixelarcade-60</t>
  </si>
  <si>
    <t>Thirty-Two-Bit Tableau XV</t>
  </si>
  <si>
    <t>pixelarcade-61</t>
  </si>
  <si>
    <t>Thirty-Two-Bit Tableau XVI</t>
  </si>
  <si>
    <t>pixelarcade-62</t>
  </si>
  <si>
    <t>Thirty-Two-Bit Tableau XVII</t>
  </si>
  <si>
    <t>pixelarcade-63</t>
  </si>
  <si>
    <t>Thirty-Two-Bit Tableau XVIII</t>
  </si>
  <si>
    <t>pixelarcade-64</t>
  </si>
  <si>
    <t>Thirty-Two-Bit Tableau XIX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</si>
</sst>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4">
    <font>
      <sz val="11.0"/>
      <color theme="1"/>
      <name val="Calibri"/>
      <scheme val="minor"/>
    </font>
    <font>
      <b/>
      <sz val="12.0"/>
      <color theme="1"/>
      <name val="Arial"/>
    </font>
    <font>
      <sz val="10.0"/>
      <color theme="1"/>
      <name val="Arial"/>
    </font>
    <font>
      <b/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EEEEE"/>
        <bgColor rgb="FFEEEEEE"/>
      </patternFill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1" fillId="2" fontId="3" numFmtId="0" xfId="0" applyBorder="1" applyFill="1" applyFont="1"/>
    <xf borderId="1" fillId="3" fontId="2" numFmtId="0" xfId="0" applyBorder="1" applyFill="1" applyFont="1"/>
    <xf borderId="1" fillId="2" fontId="2" numFmtId="0" xfId="0" applyBorder="1" applyFont="1"/>
    <xf borderId="1" fillId="3" fontId="2" numFmtId="0" xfId="0" applyAlignment="1" applyBorder="1" applyFont="1">
      <alignment readingOrder="0"/>
    </xf>
    <xf borderId="1" fillId="3" fontId="2" numFmtId="164" xfId="0" applyAlignment="1" applyBorder="1" applyFont="1" applyNumberFormat="1">
      <alignment readingOrder="0"/>
    </xf>
    <xf borderId="1" fillId="3" fontId="2" numFmtId="164" xfId="0" applyBorder="1" applyFont="1" applyNumberFormat="1"/>
    <xf borderId="1" fillId="3" fontId="2" numFmtId="0" xfId="0" applyAlignment="1" applyBorder="1" applyFont="1">
      <alignment horizontal="center" readingOrder="0"/>
    </xf>
    <xf borderId="1" fillId="2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0"/>
    <col customWidth="1" min="2" max="26" width="8.71"/>
  </cols>
  <sheetData>
    <row r="1">
      <c r="A1" s="1" t="s">
        <v>0</v>
      </c>
    </row>
    <row r="3">
      <c r="A3" s="2" t="s">
        <v>1</v>
      </c>
    </row>
    <row r="4">
      <c r="A4" s="2" t="s">
        <v>2</v>
      </c>
    </row>
    <row r="5">
      <c r="A5" s="2" t="s">
        <v>3</v>
      </c>
    </row>
    <row r="6">
      <c r="A6" s="2" t="s">
        <v>4</v>
      </c>
    </row>
    <row r="7">
      <c r="A7" s="2" t="s">
        <v>6</v>
      </c>
    </row>
    <row r="10">
      <c r="A10" s="3" t="s">
        <v>7</v>
      </c>
    </row>
    <row r="11">
      <c r="A11" s="4" t="s">
        <v>5</v>
      </c>
      <c r="B11" s="4" t="s">
        <v>8</v>
      </c>
      <c r="C11" s="4" t="s">
        <v>9</v>
      </c>
      <c r="D11" s="4" t="s">
        <v>10</v>
      </c>
      <c r="E11" s="4" t="s">
        <v>11</v>
      </c>
      <c r="F11" s="4" t="s">
        <v>12</v>
      </c>
      <c r="G11" s="4" t="s">
        <v>13</v>
      </c>
      <c r="H11" s="4" t="s">
        <v>14</v>
      </c>
      <c r="I11" s="4" t="s">
        <v>15</v>
      </c>
      <c r="J11" s="4" t="s">
        <v>16</v>
      </c>
      <c r="K11" s="4" t="s">
        <v>17</v>
      </c>
      <c r="L11" s="4" t="s">
        <v>18</v>
      </c>
      <c r="M11" s="4" t="s">
        <v>19</v>
      </c>
      <c r="N11" s="4" t="s">
        <v>20</v>
      </c>
      <c r="O11" s="4" t="s">
        <v>21</v>
      </c>
      <c r="P11" s="4" t="s">
        <v>22</v>
      </c>
      <c r="Q11" s="4" t="s">
        <v>23</v>
      </c>
    </row>
    <row r="12">
      <c r="A12" s="2" t="s">
        <v>24</v>
      </c>
      <c r="B12" s="2" t="s">
        <v>25</v>
      </c>
      <c r="C12" s="2" t="s">
        <v>26</v>
      </c>
      <c r="D12" s="2"/>
      <c r="E12" s="2"/>
      <c r="F12" s="2"/>
      <c r="G12" s="5">
        <v>1800.0</v>
      </c>
      <c r="H12" s="5">
        <v>6400.0</v>
      </c>
      <c r="I12" s="5">
        <v>7600.0</v>
      </c>
      <c r="J12" s="5">
        <v>76.0</v>
      </c>
      <c r="K12" s="5">
        <v>102.0</v>
      </c>
      <c r="L12" s="5">
        <v>4.0</v>
      </c>
      <c r="M12" s="5" t="s">
        <v>30</v>
      </c>
      <c r="N12" s="5" t="s">
        <v>31</v>
      </c>
      <c r="O12" s="5" t="s">
        <v>30</v>
      </c>
      <c r="P12" s="5" t="s">
        <v>31</v>
      </c>
      <c r="Q12" s="5" t="s">
        <v>33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0"/>
    <col customWidth="1" min="2" max="2" width="30.0"/>
    <col customWidth="1" min="3" max="3" width="11.0"/>
    <col customWidth="1" min="4" max="4" width="22.0"/>
    <col customWidth="1" min="5" max="5" width="12.0"/>
    <col customWidth="1" min="6" max="6" width="11.0"/>
    <col customWidth="1" min="7" max="8" width="15.0"/>
    <col customWidth="1" min="9" max="9" width="13.0"/>
    <col customWidth="1" min="10" max="12" width="9.0"/>
    <col customWidth="1" min="13" max="13" width="17.0"/>
    <col customWidth="1" min="14" max="14" width="11.0"/>
    <col customWidth="1" min="15" max="15" width="15.0"/>
    <col customWidth="1" min="16" max="16" width="22.0"/>
    <col customWidth="1" min="17" max="17" width="28.0"/>
    <col customWidth="1" min="18" max="26" width="8.71"/>
  </cols>
  <sheetData>
    <row r="1">
      <c r="A1" s="4" t="s">
        <v>5</v>
      </c>
      <c r="B1" s="4" t="s">
        <v>8</v>
      </c>
      <c r="C1" s="4" t="s">
        <v>9</v>
      </c>
      <c r="D1" s="4" t="s">
        <v>10</v>
      </c>
      <c r="E1" s="4" t="s">
        <v>11</v>
      </c>
      <c r="F1" s="4" t="s">
        <v>12</v>
      </c>
      <c r="G1" s="4" t="s">
        <v>13</v>
      </c>
      <c r="H1" s="4" t="s">
        <v>14</v>
      </c>
      <c r="I1" s="4" t="s">
        <v>15</v>
      </c>
      <c r="J1" s="4" t="s">
        <v>16</v>
      </c>
      <c r="K1" s="4" t="s">
        <v>17</v>
      </c>
      <c r="L1" s="4" t="s">
        <v>18</v>
      </c>
      <c r="M1" s="4" t="s">
        <v>19</v>
      </c>
      <c r="N1" s="4" t="s">
        <v>20</v>
      </c>
      <c r="O1" s="4" t="s">
        <v>21</v>
      </c>
      <c r="P1" s="4" t="s">
        <v>22</v>
      </c>
      <c r="Q1" s="4" t="s">
        <v>23</v>
      </c>
    </row>
    <row r="2">
      <c r="A2" s="6" t="s">
        <v>27</v>
      </c>
      <c r="B2" s="6" t="s">
        <v>35</v>
      </c>
      <c r="C2" s="6" t="s">
        <v>36</v>
      </c>
      <c r="D2" s="6" t="s">
        <v>37</v>
      </c>
      <c r="E2" s="6"/>
      <c r="F2" s="5"/>
      <c r="G2" s="5"/>
      <c r="H2" s="5"/>
      <c r="I2" s="5"/>
      <c r="J2" s="5"/>
      <c r="K2" s="5"/>
      <c r="L2" s="5"/>
      <c r="M2" s="5"/>
      <c r="N2" s="5"/>
      <c r="O2" s="5"/>
      <c r="P2" s="7" t="s">
        <v>30</v>
      </c>
      <c r="Q2" s="5"/>
    </row>
    <row r="3">
      <c r="A3" s="6" t="s">
        <v>38</v>
      </c>
      <c r="B3" s="6" t="s">
        <v>39</v>
      </c>
      <c r="C3" s="6" t="s">
        <v>36</v>
      </c>
      <c r="D3" s="6" t="s">
        <v>40</v>
      </c>
      <c r="E3" s="6"/>
      <c r="F3" s="5"/>
      <c r="G3" s="5"/>
      <c r="H3" s="5"/>
      <c r="I3" s="5"/>
      <c r="J3" s="5"/>
      <c r="K3" s="5"/>
      <c r="L3" s="5"/>
      <c r="M3" s="5"/>
      <c r="N3" s="5"/>
      <c r="O3" s="5"/>
      <c r="P3" s="7" t="s">
        <v>30</v>
      </c>
      <c r="Q3" s="5"/>
    </row>
    <row r="4">
      <c r="A4" s="6" t="s">
        <v>41</v>
      </c>
      <c r="B4" s="6" t="s">
        <v>42</v>
      </c>
      <c r="C4" s="6" t="s">
        <v>36</v>
      </c>
      <c r="D4" s="6" t="s">
        <v>43</v>
      </c>
      <c r="E4" s="6"/>
      <c r="F4" s="5"/>
      <c r="G4" s="5"/>
      <c r="H4" s="5"/>
      <c r="I4" s="5"/>
      <c r="J4" s="5"/>
      <c r="K4" s="5"/>
      <c r="L4" s="5"/>
      <c r="M4" s="5"/>
      <c r="N4" s="5"/>
      <c r="O4" s="5"/>
      <c r="P4" s="7" t="s">
        <v>30</v>
      </c>
      <c r="Q4" s="5"/>
    </row>
    <row r="5">
      <c r="A5" s="6" t="s">
        <v>44</v>
      </c>
      <c r="B5" s="6" t="s">
        <v>45</v>
      </c>
      <c r="C5" s="6" t="s">
        <v>36</v>
      </c>
      <c r="D5" s="6" t="s">
        <v>46</v>
      </c>
      <c r="E5" s="6"/>
      <c r="F5" s="5"/>
      <c r="G5" s="5"/>
      <c r="H5" s="5"/>
      <c r="I5" s="5"/>
      <c r="J5" s="5"/>
      <c r="K5" s="5"/>
      <c r="L5" s="5"/>
      <c r="M5" s="5"/>
      <c r="N5" s="5"/>
      <c r="O5" s="5"/>
      <c r="P5" s="7" t="s">
        <v>30</v>
      </c>
      <c r="Q5" s="5"/>
    </row>
    <row r="6">
      <c r="A6" s="6" t="s">
        <v>47</v>
      </c>
      <c r="B6" s="6" t="s">
        <v>48</v>
      </c>
      <c r="C6" s="6" t="s">
        <v>49</v>
      </c>
      <c r="D6" s="6"/>
      <c r="E6" s="6"/>
      <c r="F6" s="5"/>
      <c r="G6" s="5"/>
      <c r="H6" s="5"/>
      <c r="I6" s="5"/>
      <c r="J6" s="5"/>
      <c r="K6" s="5"/>
      <c r="L6" s="5"/>
      <c r="M6" s="5"/>
      <c r="N6" s="5"/>
      <c r="O6" s="5"/>
      <c r="P6" s="7" t="s">
        <v>30</v>
      </c>
      <c r="Q6" s="5"/>
    </row>
    <row r="7">
      <c r="A7" s="6" t="s">
        <v>50</v>
      </c>
      <c r="B7" s="6" t="s">
        <v>51</v>
      </c>
      <c r="C7" s="6" t="s">
        <v>26</v>
      </c>
      <c r="D7" s="6"/>
      <c r="E7" s="6"/>
      <c r="F7" s="7">
        <v>0.5</v>
      </c>
      <c r="G7" s="7">
        <v>3000.0</v>
      </c>
      <c r="H7" s="7">
        <v>0.0</v>
      </c>
      <c r="I7" s="7">
        <v>3000.0</v>
      </c>
      <c r="J7" s="7">
        <v>60.0</v>
      </c>
      <c r="K7" s="7">
        <v>80.0</v>
      </c>
      <c r="L7" s="7">
        <v>1.0</v>
      </c>
      <c r="M7" s="7" t="s">
        <v>30</v>
      </c>
      <c r="N7" s="7" t="s">
        <v>30</v>
      </c>
      <c r="O7" s="7" t="s">
        <v>30</v>
      </c>
      <c r="P7" s="5"/>
      <c r="Q7" s="5"/>
    </row>
    <row r="8">
      <c r="A8" s="6" t="s">
        <v>52</v>
      </c>
      <c r="B8" s="6" t="s">
        <v>53</v>
      </c>
      <c r="C8" s="6" t="s">
        <v>36</v>
      </c>
      <c r="D8" s="6" t="s">
        <v>54</v>
      </c>
      <c r="E8" s="6"/>
      <c r="F8" s="5"/>
      <c r="G8" s="5"/>
      <c r="H8" s="5"/>
      <c r="I8" s="5"/>
      <c r="J8" s="7">
        <v>60.0</v>
      </c>
      <c r="K8" s="7">
        <v>80.0</v>
      </c>
      <c r="L8" s="7">
        <v>1.0</v>
      </c>
      <c r="M8" s="7" t="s">
        <v>30</v>
      </c>
      <c r="N8" s="7" t="s">
        <v>30</v>
      </c>
      <c r="O8" s="5"/>
      <c r="P8" s="7" t="s">
        <v>30</v>
      </c>
      <c r="Q8" s="5"/>
    </row>
    <row r="9">
      <c r="A9" s="6" t="s">
        <v>55</v>
      </c>
      <c r="B9" s="6" t="s">
        <v>56</v>
      </c>
      <c r="C9" s="11" t="s">
        <v>36</v>
      </c>
      <c r="D9" s="11" t="s">
        <v>59</v>
      </c>
      <c r="E9" s="6"/>
      <c r="F9" s="5"/>
      <c r="G9" s="5"/>
      <c r="H9" s="5"/>
      <c r="I9" s="5"/>
      <c r="J9" s="7">
        <v>60.0</v>
      </c>
      <c r="K9" s="7">
        <v>60.0</v>
      </c>
      <c r="L9" s="7">
        <v>1.0</v>
      </c>
      <c r="M9" s="5"/>
      <c r="N9" s="5"/>
      <c r="O9" s="5"/>
      <c r="P9" s="7" t="s">
        <v>30</v>
      </c>
      <c r="Q9" s="5"/>
    </row>
    <row r="10">
      <c r="A10" s="6" t="s">
        <v>63</v>
      </c>
      <c r="B10" s="6" t="s">
        <v>65</v>
      </c>
      <c r="C10" s="6" t="s">
        <v>26</v>
      </c>
      <c r="D10" s="6"/>
      <c r="E10" s="6"/>
      <c r="F10" s="7">
        <v>0.5</v>
      </c>
      <c r="G10" s="7">
        <v>3000.0</v>
      </c>
      <c r="H10" s="7">
        <v>0.0</v>
      </c>
      <c r="I10" s="7">
        <v>3000.0</v>
      </c>
      <c r="J10" s="7">
        <v>60.0</v>
      </c>
      <c r="K10" s="7">
        <v>80.0</v>
      </c>
      <c r="L10" s="7">
        <v>1.0</v>
      </c>
      <c r="M10" s="7" t="s">
        <v>30</v>
      </c>
      <c r="N10" s="7" t="s">
        <v>30</v>
      </c>
      <c r="O10" s="7" t="s">
        <v>30</v>
      </c>
      <c r="P10" s="5"/>
      <c r="Q10" s="5"/>
    </row>
    <row r="11">
      <c r="A11" s="6" t="s">
        <v>68</v>
      </c>
      <c r="B11" s="6" t="s">
        <v>69</v>
      </c>
      <c r="C11" s="6" t="s">
        <v>36</v>
      </c>
      <c r="D11" s="6" t="s">
        <v>70</v>
      </c>
      <c r="E11" s="6"/>
      <c r="F11" s="5"/>
      <c r="G11" s="5"/>
      <c r="H11" s="5"/>
      <c r="I11" s="5"/>
      <c r="J11" s="5"/>
      <c r="K11" s="5"/>
      <c r="L11" s="5"/>
      <c r="M11" s="5"/>
      <c r="N11" s="5"/>
      <c r="O11" s="5"/>
      <c r="P11" s="7" t="s">
        <v>31</v>
      </c>
      <c r="Q11" s="5"/>
    </row>
    <row r="12">
      <c r="A12" s="6" t="s">
        <v>76</v>
      </c>
      <c r="B12" s="6" t="s">
        <v>77</v>
      </c>
      <c r="C12" s="11" t="s">
        <v>36</v>
      </c>
      <c r="D12" s="11" t="s">
        <v>78</v>
      </c>
      <c r="E12" s="6"/>
      <c r="F12" s="5"/>
      <c r="G12" s="5"/>
      <c r="H12" s="5"/>
      <c r="I12" s="5"/>
      <c r="J12" s="7">
        <v>60.0</v>
      </c>
      <c r="K12" s="7">
        <v>60.0</v>
      </c>
      <c r="L12" s="7">
        <v>1.0</v>
      </c>
      <c r="M12" s="5"/>
      <c r="N12" s="5"/>
      <c r="O12" s="5"/>
      <c r="P12" s="7" t="s">
        <v>30</v>
      </c>
      <c r="Q12" s="5"/>
    </row>
    <row r="13">
      <c r="A13" s="6" t="s">
        <v>83</v>
      </c>
      <c r="B13" s="6" t="s">
        <v>84</v>
      </c>
      <c r="C13" s="6" t="s">
        <v>36</v>
      </c>
      <c r="D13" s="6" t="s">
        <v>85</v>
      </c>
      <c r="E13" s="6"/>
      <c r="F13" s="5"/>
      <c r="G13" s="5"/>
      <c r="H13" s="5"/>
      <c r="I13" s="5"/>
      <c r="J13" s="5"/>
      <c r="K13" s="5"/>
      <c r="L13" s="5"/>
      <c r="M13" s="5"/>
      <c r="N13" s="5"/>
      <c r="O13" s="5"/>
      <c r="P13" s="7" t="s">
        <v>30</v>
      </c>
      <c r="Q13" s="5"/>
    </row>
    <row r="14">
      <c r="A14" s="6" t="s">
        <v>90</v>
      </c>
      <c r="B14" s="6" t="s">
        <v>91</v>
      </c>
      <c r="C14" s="6" t="s">
        <v>26</v>
      </c>
      <c r="D14" s="6"/>
      <c r="E14" s="6"/>
      <c r="F14" s="7">
        <v>0.5</v>
      </c>
      <c r="G14" s="7">
        <v>3000.0</v>
      </c>
      <c r="H14" s="7">
        <v>0.0</v>
      </c>
      <c r="I14" s="7">
        <v>3000.0</v>
      </c>
      <c r="J14" s="7">
        <v>60.0</v>
      </c>
      <c r="K14" s="7">
        <v>60.0</v>
      </c>
      <c r="L14" s="7">
        <v>1.0</v>
      </c>
      <c r="M14" s="7" t="s">
        <v>30</v>
      </c>
      <c r="N14" s="7" t="s">
        <v>30</v>
      </c>
      <c r="O14" s="7" t="s">
        <v>30</v>
      </c>
      <c r="P14" s="5"/>
      <c r="Q14" s="5"/>
    </row>
    <row r="15">
      <c r="A15" s="6" t="s">
        <v>97</v>
      </c>
      <c r="B15" s="6" t="s">
        <v>98</v>
      </c>
      <c r="C15" s="6" t="s">
        <v>26</v>
      </c>
      <c r="D15" s="6"/>
      <c r="E15" s="6"/>
      <c r="F15" s="7">
        <v>0.5</v>
      </c>
      <c r="G15" s="7">
        <v>3000.0</v>
      </c>
      <c r="H15" s="7">
        <v>0.0</v>
      </c>
      <c r="I15" s="7">
        <v>3000.0</v>
      </c>
      <c r="J15" s="7">
        <v>60.0</v>
      </c>
      <c r="K15" s="7">
        <v>60.0</v>
      </c>
      <c r="L15" s="7">
        <v>1.0</v>
      </c>
      <c r="M15" s="7" t="s">
        <v>30</v>
      </c>
      <c r="N15" s="7" t="s">
        <v>30</v>
      </c>
      <c r="O15" s="7" t="s">
        <v>30</v>
      </c>
      <c r="P15" s="5"/>
      <c r="Q15" s="5"/>
    </row>
    <row r="16">
      <c r="A16" s="6" t="s">
        <v>100</v>
      </c>
      <c r="B16" s="6" t="s">
        <v>102</v>
      </c>
      <c r="C16" s="6" t="s">
        <v>26</v>
      </c>
      <c r="D16" s="6"/>
      <c r="E16" s="6"/>
      <c r="F16" s="7">
        <v>0.5</v>
      </c>
      <c r="G16" s="7">
        <v>3000.0</v>
      </c>
      <c r="H16" s="7">
        <v>0.0</v>
      </c>
      <c r="I16" s="7">
        <v>3000.0</v>
      </c>
      <c r="J16" s="7">
        <v>60.0</v>
      </c>
      <c r="K16" s="7">
        <v>60.0</v>
      </c>
      <c r="L16" s="7">
        <v>1.0</v>
      </c>
      <c r="M16" s="7" t="s">
        <v>30</v>
      </c>
      <c r="N16" s="7" t="s">
        <v>30</v>
      </c>
      <c r="O16" s="7" t="s">
        <v>30</v>
      </c>
      <c r="P16" s="5"/>
      <c r="Q16" s="5"/>
    </row>
    <row r="17">
      <c r="A17" s="6" t="s">
        <v>105</v>
      </c>
      <c r="B17" s="6" t="s">
        <v>106</v>
      </c>
      <c r="C17" s="6" t="s">
        <v>36</v>
      </c>
      <c r="D17" s="6" t="s">
        <v>109</v>
      </c>
      <c r="E17" s="6"/>
      <c r="F17" s="5"/>
      <c r="G17" s="5"/>
      <c r="H17" s="5"/>
      <c r="I17" s="5"/>
      <c r="J17" s="5"/>
      <c r="K17" s="5"/>
      <c r="L17" s="5"/>
      <c r="M17" s="5"/>
      <c r="N17" s="5"/>
      <c r="O17" s="5"/>
      <c r="P17" s="7" t="s">
        <v>30</v>
      </c>
      <c r="Q17" s="5"/>
    </row>
    <row r="18">
      <c r="A18" s="6" t="s">
        <v>110</v>
      </c>
      <c r="B18" s="6" t="s">
        <v>112</v>
      </c>
      <c r="C18" s="6" t="s">
        <v>36</v>
      </c>
      <c r="D18" s="6" t="s">
        <v>114</v>
      </c>
      <c r="E18" s="6"/>
      <c r="F18" s="5"/>
      <c r="G18" s="5"/>
      <c r="H18" s="5"/>
      <c r="I18" s="5"/>
      <c r="J18" s="5"/>
      <c r="K18" s="5"/>
      <c r="L18" s="5"/>
      <c r="M18" s="5"/>
      <c r="N18" s="5"/>
      <c r="O18" s="5"/>
      <c r="P18" s="7" t="s">
        <v>30</v>
      </c>
      <c r="Q18" s="5"/>
    </row>
    <row r="19">
      <c r="A19" s="6" t="s">
        <v>118</v>
      </c>
      <c r="B19" s="6" t="s">
        <v>121</v>
      </c>
      <c r="C19" s="6" t="s">
        <v>26</v>
      </c>
      <c r="D19" s="6"/>
      <c r="E19" s="6"/>
      <c r="F19" s="5"/>
      <c r="G19" s="5"/>
      <c r="H19" s="5"/>
      <c r="I19" s="5"/>
      <c r="J19" s="5"/>
      <c r="K19" s="5"/>
      <c r="L19" s="5"/>
      <c r="M19" s="5"/>
      <c r="N19" s="5"/>
      <c r="O19" s="5"/>
      <c r="P19" s="7" t="s">
        <v>30</v>
      </c>
      <c r="Q19" s="5"/>
    </row>
    <row r="20">
      <c r="A20" s="6" t="s">
        <v>126</v>
      </c>
      <c r="B20" s="6" t="s">
        <v>128</v>
      </c>
      <c r="C20" s="6" t="s">
        <v>26</v>
      </c>
      <c r="D20" s="6"/>
      <c r="E20" s="6"/>
      <c r="F20" s="7">
        <v>0.5</v>
      </c>
      <c r="G20" s="7">
        <v>3000.0</v>
      </c>
      <c r="H20" s="7">
        <v>0.0</v>
      </c>
      <c r="I20" s="7">
        <v>3000.0</v>
      </c>
      <c r="J20" s="7">
        <v>60.0</v>
      </c>
      <c r="K20" s="7">
        <v>60.0</v>
      </c>
      <c r="L20" s="7">
        <v>1.0</v>
      </c>
      <c r="M20" s="7" t="s">
        <v>30</v>
      </c>
      <c r="N20" s="7" t="s">
        <v>30</v>
      </c>
      <c r="O20" s="7" t="s">
        <v>30</v>
      </c>
      <c r="P20" s="5"/>
      <c r="Q20" s="5"/>
    </row>
    <row r="21" ht="15.75" customHeight="1">
      <c r="A21" s="6" t="s">
        <v>132</v>
      </c>
      <c r="B21" s="6" t="s">
        <v>134</v>
      </c>
      <c r="C21" s="6" t="s">
        <v>26</v>
      </c>
      <c r="D21" s="6"/>
      <c r="E21" s="6"/>
      <c r="F21" s="7">
        <v>0.5</v>
      </c>
      <c r="G21" s="7">
        <v>3000.0</v>
      </c>
      <c r="H21" s="7">
        <v>0.0</v>
      </c>
      <c r="I21" s="7">
        <v>3000.0</v>
      </c>
      <c r="J21" s="7">
        <v>60.0</v>
      </c>
      <c r="K21" s="7">
        <v>60.0</v>
      </c>
      <c r="L21" s="7">
        <v>1.0</v>
      </c>
      <c r="M21" s="7" t="s">
        <v>30</v>
      </c>
      <c r="N21" s="7" t="s">
        <v>30</v>
      </c>
      <c r="O21" s="7" t="s">
        <v>30</v>
      </c>
      <c r="P21" s="5"/>
      <c r="Q21" s="5"/>
    </row>
    <row r="22" ht="15.75" customHeight="1">
      <c r="A22" s="6" t="s">
        <v>140</v>
      </c>
      <c r="B22" s="6" t="s">
        <v>142</v>
      </c>
      <c r="C22" s="6" t="s">
        <v>26</v>
      </c>
      <c r="D22" s="6"/>
      <c r="E22" s="6"/>
      <c r="F22" s="7">
        <v>0.5</v>
      </c>
      <c r="G22" s="7">
        <v>3000.0</v>
      </c>
      <c r="H22" s="7">
        <v>0.0</v>
      </c>
      <c r="I22" s="7">
        <v>3000.0</v>
      </c>
      <c r="J22" s="7">
        <v>60.0</v>
      </c>
      <c r="K22" s="7">
        <v>60.0</v>
      </c>
      <c r="L22" s="7">
        <v>1.0</v>
      </c>
      <c r="M22" s="7" t="s">
        <v>30</v>
      </c>
      <c r="N22" s="7" t="s">
        <v>30</v>
      </c>
      <c r="O22" s="7" t="s">
        <v>30</v>
      </c>
      <c r="P22" s="5"/>
      <c r="Q22" s="5"/>
    </row>
    <row r="23" ht="15.75" customHeight="1">
      <c r="A23" s="6" t="s">
        <v>148</v>
      </c>
      <c r="B23" s="6" t="s">
        <v>149</v>
      </c>
      <c r="C23" s="6" t="s">
        <v>36</v>
      </c>
      <c r="D23" s="6" t="s">
        <v>150</v>
      </c>
      <c r="E23" s="6"/>
      <c r="F23" s="5"/>
      <c r="G23" s="5"/>
      <c r="H23" s="5"/>
      <c r="I23" s="5"/>
      <c r="J23" s="5"/>
      <c r="K23" s="5"/>
      <c r="L23" s="5"/>
      <c r="M23" s="5"/>
      <c r="N23" s="5"/>
      <c r="O23" s="5"/>
      <c r="P23" s="7" t="s">
        <v>30</v>
      </c>
      <c r="Q23" s="5"/>
    </row>
    <row r="24" ht="15.75" customHeight="1">
      <c r="A24" s="6" t="s">
        <v>155</v>
      </c>
      <c r="B24" s="6" t="s">
        <v>156</v>
      </c>
      <c r="C24" s="6" t="s">
        <v>26</v>
      </c>
      <c r="D24" s="6"/>
      <c r="E24" s="6"/>
      <c r="F24" s="7">
        <v>0.5</v>
      </c>
      <c r="G24" s="7">
        <v>3000.0</v>
      </c>
      <c r="H24" s="7">
        <v>0.0</v>
      </c>
      <c r="I24" s="7">
        <v>3000.0</v>
      </c>
      <c r="J24" s="7">
        <v>60.0</v>
      </c>
      <c r="K24" s="7">
        <v>60.0</v>
      </c>
      <c r="L24" s="7">
        <v>1.0</v>
      </c>
      <c r="M24" s="7" t="s">
        <v>30</v>
      </c>
      <c r="N24" s="7" t="s">
        <v>30</v>
      </c>
      <c r="O24" s="7" t="s">
        <v>30</v>
      </c>
      <c r="P24" s="5"/>
      <c r="Q24" s="5"/>
    </row>
    <row r="25" ht="15.75" customHeight="1">
      <c r="A25" s="6" t="s">
        <v>159</v>
      </c>
      <c r="B25" s="6" t="s">
        <v>160</v>
      </c>
      <c r="C25" s="6" t="s">
        <v>36</v>
      </c>
      <c r="D25" s="6" t="s">
        <v>70</v>
      </c>
      <c r="E25" s="6"/>
      <c r="F25" s="5"/>
      <c r="G25" s="5"/>
      <c r="H25" s="5"/>
      <c r="I25" s="5"/>
      <c r="J25" s="5"/>
      <c r="K25" s="5"/>
      <c r="L25" s="5"/>
      <c r="M25" s="5"/>
      <c r="N25" s="5"/>
      <c r="O25" s="5"/>
      <c r="P25" s="7" t="s">
        <v>30</v>
      </c>
      <c r="Q25" s="5"/>
    </row>
    <row r="26" ht="15.75" customHeight="1">
      <c r="A26" s="6" t="s">
        <v>163</v>
      </c>
      <c r="B26" s="6" t="s">
        <v>164</v>
      </c>
      <c r="C26" s="6" t="s">
        <v>36</v>
      </c>
      <c r="D26" s="6" t="s">
        <v>70</v>
      </c>
      <c r="E26" s="6"/>
      <c r="F26" s="5"/>
      <c r="G26" s="5"/>
      <c r="H26" s="5"/>
      <c r="I26" s="5"/>
      <c r="J26" s="5"/>
      <c r="K26" s="5"/>
      <c r="L26" s="5"/>
      <c r="M26" s="5"/>
      <c r="N26" s="5"/>
      <c r="O26" s="5"/>
      <c r="P26" s="7" t="s">
        <v>30</v>
      </c>
      <c r="Q26" s="5"/>
    </row>
    <row r="27" ht="15.75" customHeight="1">
      <c r="A27" s="6" t="s">
        <v>167</v>
      </c>
      <c r="B27" s="6" t="s">
        <v>168</v>
      </c>
      <c r="C27" s="6" t="s">
        <v>36</v>
      </c>
      <c r="D27" s="6" t="s">
        <v>114</v>
      </c>
      <c r="E27" s="6"/>
      <c r="F27" s="5"/>
      <c r="G27" s="5"/>
      <c r="H27" s="5"/>
      <c r="I27" s="5"/>
      <c r="J27" s="5"/>
      <c r="K27" s="5"/>
      <c r="L27" s="5"/>
      <c r="M27" s="5"/>
      <c r="N27" s="5"/>
      <c r="O27" s="5"/>
      <c r="P27" s="7" t="s">
        <v>30</v>
      </c>
      <c r="Q27" s="5"/>
    </row>
    <row r="28" ht="15.75" customHeight="1">
      <c r="A28" s="6" t="s">
        <v>172</v>
      </c>
      <c r="B28" s="6" t="s">
        <v>174</v>
      </c>
      <c r="C28" s="6" t="s">
        <v>26</v>
      </c>
      <c r="D28" s="6"/>
      <c r="E28" s="6"/>
      <c r="F28" s="7">
        <v>0.1</v>
      </c>
      <c r="G28" s="7">
        <v>300.0</v>
      </c>
      <c r="H28" s="5"/>
      <c r="I28" s="5"/>
      <c r="J28" s="5"/>
      <c r="K28" s="5"/>
      <c r="L28" s="5"/>
      <c r="M28" s="5"/>
      <c r="N28" s="5"/>
      <c r="O28" s="5"/>
      <c r="P28" s="5"/>
      <c r="Q28" s="5"/>
    </row>
    <row r="29" ht="15.75" customHeight="1">
      <c r="A29" s="6" t="s">
        <v>177</v>
      </c>
      <c r="B29" s="6" t="s">
        <v>178</v>
      </c>
      <c r="C29" s="6" t="s">
        <v>26</v>
      </c>
      <c r="D29" s="6"/>
      <c r="E29" s="6"/>
      <c r="F29" s="7">
        <v>0.1</v>
      </c>
      <c r="G29" s="7">
        <v>300.0</v>
      </c>
      <c r="H29" s="5"/>
      <c r="I29" s="5"/>
      <c r="J29" s="5"/>
      <c r="K29" s="5"/>
      <c r="L29" s="5"/>
      <c r="M29" s="5"/>
      <c r="N29" s="5"/>
      <c r="O29" s="5"/>
      <c r="P29" s="5"/>
      <c r="Q29" s="5"/>
    </row>
    <row r="30" ht="15.75" customHeight="1">
      <c r="A30" s="6" t="s">
        <v>183</v>
      </c>
      <c r="B30" s="6" t="s">
        <v>186</v>
      </c>
      <c r="C30" s="6" t="s">
        <v>49</v>
      </c>
      <c r="D30" s="6"/>
      <c r="E30" s="6"/>
      <c r="F30" s="5"/>
      <c r="G30" s="5"/>
      <c r="H30" s="5"/>
      <c r="I30" s="5"/>
      <c r="J30" s="5"/>
      <c r="K30" s="5"/>
      <c r="L30" s="5"/>
      <c r="M30" s="5"/>
      <c r="N30" s="5"/>
      <c r="O30" s="5"/>
      <c r="P30" s="7" t="s">
        <v>30</v>
      </c>
      <c r="Q30" s="5"/>
    </row>
    <row r="31" ht="15.75" customHeight="1">
      <c r="A31" s="6" t="s">
        <v>191</v>
      </c>
      <c r="B31" s="6" t="s">
        <v>192</v>
      </c>
      <c r="C31" s="6" t="s">
        <v>26</v>
      </c>
      <c r="D31" s="6"/>
      <c r="E31" s="6"/>
      <c r="F31" s="5"/>
      <c r="G31" s="5"/>
      <c r="H31" s="5"/>
      <c r="I31" s="5"/>
      <c r="J31" s="7">
        <v>40.0</v>
      </c>
      <c r="K31" s="7">
        <v>60.0</v>
      </c>
      <c r="L31" s="7">
        <v>1.0</v>
      </c>
      <c r="M31" s="7" t="s">
        <v>30</v>
      </c>
      <c r="N31" s="7" t="s">
        <v>30</v>
      </c>
      <c r="O31" s="7" t="s">
        <v>30</v>
      </c>
      <c r="P31" s="5"/>
      <c r="Q31" s="5"/>
    </row>
    <row r="32" ht="15.75" customHeight="1">
      <c r="A32" s="6" t="s">
        <v>197</v>
      </c>
      <c r="B32" s="6" t="s">
        <v>198</v>
      </c>
      <c r="C32" s="6" t="s">
        <v>36</v>
      </c>
      <c r="D32" s="6" t="s">
        <v>199</v>
      </c>
      <c r="E32" s="6"/>
      <c r="F32" s="5"/>
      <c r="G32" s="5"/>
      <c r="H32" s="5"/>
      <c r="I32" s="5"/>
      <c r="J32" s="7">
        <v>40.0</v>
      </c>
      <c r="K32" s="7">
        <v>60.0</v>
      </c>
      <c r="L32" s="7">
        <v>1.0</v>
      </c>
      <c r="M32" s="7" t="s">
        <v>30</v>
      </c>
      <c r="N32" s="7" t="s">
        <v>30</v>
      </c>
      <c r="O32" s="7" t="s">
        <v>30</v>
      </c>
      <c r="P32" s="5"/>
      <c r="Q32" s="5"/>
    </row>
    <row r="33" ht="15.75" customHeight="1">
      <c r="A33" s="6" t="s">
        <v>202</v>
      </c>
      <c r="B33" s="6" t="s">
        <v>203</v>
      </c>
      <c r="C33" s="6" t="s">
        <v>49</v>
      </c>
      <c r="D33" s="6"/>
      <c r="E33" s="6"/>
      <c r="F33" s="5"/>
      <c r="G33" s="5"/>
      <c r="H33" s="5"/>
      <c r="I33" s="5"/>
      <c r="J33" s="7">
        <v>40.0</v>
      </c>
      <c r="K33" s="7">
        <v>60.0</v>
      </c>
      <c r="L33" s="7">
        <v>1.0</v>
      </c>
      <c r="M33" s="7" t="s">
        <v>30</v>
      </c>
      <c r="N33" s="7" t="s">
        <v>30</v>
      </c>
      <c r="O33" s="7" t="s">
        <v>30</v>
      </c>
      <c r="P33" s="5"/>
      <c r="Q33" s="5"/>
    </row>
    <row r="34" ht="15.75" customHeight="1">
      <c r="A34" s="6" t="s">
        <v>206</v>
      </c>
      <c r="B34" s="6" t="s">
        <v>207</v>
      </c>
      <c r="C34" s="6" t="s">
        <v>36</v>
      </c>
      <c r="D34" s="6" t="s">
        <v>208</v>
      </c>
      <c r="E34" s="6"/>
      <c r="F34" s="5"/>
      <c r="G34" s="5"/>
      <c r="H34" s="5"/>
      <c r="I34" s="5"/>
      <c r="J34" s="5"/>
      <c r="K34" s="5"/>
      <c r="L34" s="5"/>
      <c r="M34" s="5"/>
      <c r="N34" s="5"/>
      <c r="O34" s="5"/>
      <c r="P34" s="7" t="s">
        <v>30</v>
      </c>
      <c r="Q34" s="5"/>
    </row>
    <row r="35" ht="15.75" customHeight="1">
      <c r="A35" s="6" t="s">
        <v>211</v>
      </c>
      <c r="B35" s="6" t="s">
        <v>212</v>
      </c>
      <c r="C35" s="6" t="s">
        <v>26</v>
      </c>
      <c r="D35" s="6"/>
      <c r="E35" s="6"/>
      <c r="F35" s="5"/>
      <c r="G35" s="5"/>
      <c r="H35" s="5"/>
      <c r="I35" s="5"/>
      <c r="J35" s="7">
        <v>40.0</v>
      </c>
      <c r="K35" s="7">
        <v>60.0</v>
      </c>
      <c r="L35" s="7">
        <v>1.0</v>
      </c>
      <c r="M35" s="7" t="s">
        <v>30</v>
      </c>
      <c r="N35" s="7" t="s">
        <v>30</v>
      </c>
      <c r="O35" s="7" t="s">
        <v>30</v>
      </c>
      <c r="P35" s="5"/>
      <c r="Q35" s="5"/>
    </row>
    <row r="36" ht="15.75" customHeight="1">
      <c r="A36" s="6" t="s">
        <v>24</v>
      </c>
      <c r="B36" s="6" t="s">
        <v>25</v>
      </c>
      <c r="C36" s="6" t="s">
        <v>26</v>
      </c>
      <c r="D36" s="6"/>
      <c r="E36" s="6"/>
      <c r="F36" s="5"/>
      <c r="G36" s="5"/>
      <c r="H36" s="5"/>
      <c r="I36" s="5"/>
      <c r="J36" s="7">
        <v>40.0</v>
      </c>
      <c r="K36" s="7">
        <v>60.0</v>
      </c>
      <c r="L36" s="7">
        <v>1.0</v>
      </c>
      <c r="M36" s="7" t="s">
        <v>30</v>
      </c>
      <c r="N36" s="7" t="s">
        <v>30</v>
      </c>
      <c r="O36" s="7" t="s">
        <v>30</v>
      </c>
      <c r="P36" s="5"/>
      <c r="Q36" s="5"/>
    </row>
    <row r="37" ht="15.75" customHeight="1">
      <c r="A37" s="6" t="s">
        <v>217</v>
      </c>
      <c r="B37" s="6" t="s">
        <v>218</v>
      </c>
      <c r="C37" s="6" t="s">
        <v>36</v>
      </c>
      <c r="D37" s="6" t="s">
        <v>43</v>
      </c>
      <c r="E37" s="6"/>
      <c r="F37" s="5"/>
      <c r="G37" s="5"/>
      <c r="H37" s="5"/>
      <c r="I37" s="5"/>
      <c r="J37" s="5"/>
      <c r="K37" s="5"/>
      <c r="L37" s="5"/>
      <c r="M37" s="5"/>
      <c r="N37" s="5"/>
      <c r="O37" s="5"/>
      <c r="P37" s="7" t="s">
        <v>30</v>
      </c>
      <c r="Q37" s="5"/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0"/>
    <col customWidth="1" min="2" max="2" width="30.0"/>
    <col customWidth="1" min="3" max="3" width="11.0"/>
    <col customWidth="1" min="4" max="4" width="22.0"/>
    <col customWidth="1" min="5" max="5" width="12.0"/>
    <col customWidth="1" min="6" max="6" width="11.0"/>
    <col customWidth="1" min="7" max="8" width="15.0"/>
    <col customWidth="1" min="9" max="9" width="13.0"/>
    <col customWidth="1" min="10" max="12" width="9.0"/>
    <col customWidth="1" min="13" max="13" width="17.0"/>
    <col customWidth="1" min="14" max="14" width="11.0"/>
    <col customWidth="1" min="15" max="15" width="15.0"/>
    <col customWidth="1" min="16" max="16" width="22.0"/>
    <col customWidth="1" min="17" max="17" width="28.0"/>
    <col customWidth="1" min="18" max="26" width="8.71"/>
  </cols>
  <sheetData>
    <row r="1">
      <c r="A1" s="4" t="s">
        <v>5</v>
      </c>
      <c r="B1" s="4" t="s">
        <v>8</v>
      </c>
      <c r="C1" s="4" t="s">
        <v>9</v>
      </c>
      <c r="D1" s="4" t="s">
        <v>10</v>
      </c>
      <c r="E1" s="4" t="s">
        <v>11</v>
      </c>
      <c r="F1" s="4" t="s">
        <v>12</v>
      </c>
      <c r="G1" s="4" t="s">
        <v>13</v>
      </c>
      <c r="H1" s="4" t="s">
        <v>14</v>
      </c>
      <c r="I1" s="4" t="s">
        <v>15</v>
      </c>
      <c r="J1" s="4" t="s">
        <v>16</v>
      </c>
      <c r="K1" s="4" t="s">
        <v>17</v>
      </c>
      <c r="L1" s="4" t="s">
        <v>18</v>
      </c>
      <c r="M1" s="4" t="s">
        <v>19</v>
      </c>
      <c r="N1" s="4" t="s">
        <v>20</v>
      </c>
      <c r="O1" s="4" t="s">
        <v>21</v>
      </c>
      <c r="P1" s="4" t="s">
        <v>22</v>
      </c>
      <c r="Q1" s="4" t="s">
        <v>23</v>
      </c>
    </row>
    <row r="2">
      <c r="A2" s="6" t="s">
        <v>28</v>
      </c>
      <c r="B2" s="6" t="s">
        <v>32</v>
      </c>
      <c r="C2" s="6" t="s">
        <v>26</v>
      </c>
      <c r="D2" s="6"/>
      <c r="E2" s="6"/>
      <c r="F2" s="7">
        <v>0.05</v>
      </c>
      <c r="G2" s="8">
        <v>150.0</v>
      </c>
      <c r="H2" s="8">
        <v>1250.0</v>
      </c>
      <c r="I2" s="9">
        <f t="shared" ref="I2:I3" si="1">H2+G2</f>
        <v>1400</v>
      </c>
      <c r="J2" s="7">
        <v>80.0</v>
      </c>
      <c r="K2" s="7">
        <v>120.0</v>
      </c>
      <c r="L2" s="7">
        <v>1.0</v>
      </c>
      <c r="M2" s="10" t="s">
        <v>30</v>
      </c>
      <c r="N2" s="7" t="s">
        <v>31</v>
      </c>
      <c r="O2" s="7" t="s">
        <v>30</v>
      </c>
      <c r="P2" s="5"/>
      <c r="Q2" s="5"/>
    </row>
    <row r="3">
      <c r="A3" s="6" t="s">
        <v>60</v>
      </c>
      <c r="B3" s="6" t="s">
        <v>61</v>
      </c>
      <c r="C3" s="6" t="s">
        <v>26</v>
      </c>
      <c r="D3" s="6"/>
      <c r="E3" s="6"/>
      <c r="F3" s="7">
        <v>0.05</v>
      </c>
      <c r="G3" s="8">
        <v>150.0</v>
      </c>
      <c r="H3" s="8">
        <v>1250.0</v>
      </c>
      <c r="I3" s="9">
        <f t="shared" si="1"/>
        <v>1400</v>
      </c>
      <c r="J3" s="7">
        <v>80.0</v>
      </c>
      <c r="K3" s="7">
        <v>120.0</v>
      </c>
      <c r="L3" s="7">
        <v>1.0</v>
      </c>
      <c r="M3" s="10" t="s">
        <v>30</v>
      </c>
      <c r="N3" s="7" t="s">
        <v>31</v>
      </c>
      <c r="O3" s="7" t="s">
        <v>30</v>
      </c>
      <c r="P3" s="5"/>
      <c r="Q3" s="5"/>
    </row>
    <row r="4">
      <c r="A4" s="6" t="s">
        <v>71</v>
      </c>
      <c r="B4" s="6" t="s">
        <v>72</v>
      </c>
      <c r="C4" s="6" t="s">
        <v>36</v>
      </c>
      <c r="D4" s="11" t="s">
        <v>73</v>
      </c>
      <c r="E4" s="6"/>
      <c r="F4" s="5"/>
      <c r="G4" s="5"/>
      <c r="H4" s="5"/>
      <c r="I4" s="5"/>
      <c r="J4" s="7">
        <v>60.0</v>
      </c>
      <c r="K4" s="7">
        <v>60.0</v>
      </c>
      <c r="L4" s="7">
        <v>1.0</v>
      </c>
      <c r="M4" s="10" t="s">
        <v>30</v>
      </c>
      <c r="N4" s="5"/>
      <c r="O4" s="7" t="s">
        <v>30</v>
      </c>
      <c r="P4" s="7" t="s">
        <v>30</v>
      </c>
      <c r="Q4" s="5"/>
    </row>
    <row r="5">
      <c r="A5" s="6" t="s">
        <v>79</v>
      </c>
      <c r="B5" s="6" t="s">
        <v>80</v>
      </c>
      <c r="C5" s="6" t="s">
        <v>49</v>
      </c>
      <c r="D5" s="6"/>
      <c r="E5" s="6"/>
      <c r="F5" s="7">
        <v>0.05</v>
      </c>
      <c r="G5" s="8">
        <v>150.0</v>
      </c>
      <c r="H5" s="8">
        <v>1250.0</v>
      </c>
      <c r="I5" s="9">
        <f t="shared" ref="I5:I6" si="2">H5+G5</f>
        <v>1400</v>
      </c>
      <c r="J5" s="7">
        <v>40.0</v>
      </c>
      <c r="K5" s="7">
        <v>60.0</v>
      </c>
      <c r="L5" s="7">
        <v>1.0</v>
      </c>
      <c r="M5" s="10" t="s">
        <v>30</v>
      </c>
      <c r="N5" s="7" t="s">
        <v>31</v>
      </c>
      <c r="O5" s="7" t="s">
        <v>30</v>
      </c>
      <c r="P5" s="5"/>
      <c r="Q5" s="5"/>
    </row>
    <row r="6">
      <c r="A6" s="6" t="s">
        <v>88</v>
      </c>
      <c r="B6" s="6" t="s">
        <v>89</v>
      </c>
      <c r="C6" s="6" t="s">
        <v>49</v>
      </c>
      <c r="D6" s="6"/>
      <c r="E6" s="6"/>
      <c r="F6" s="7">
        <v>0.05</v>
      </c>
      <c r="G6" s="8">
        <v>150.0</v>
      </c>
      <c r="H6" s="8">
        <v>1250.0</v>
      </c>
      <c r="I6" s="9">
        <f t="shared" si="2"/>
        <v>1400</v>
      </c>
      <c r="J6" s="7">
        <v>40.0</v>
      </c>
      <c r="K6" s="7">
        <v>60.0</v>
      </c>
      <c r="L6" s="7">
        <v>1.0</v>
      </c>
      <c r="M6" s="10" t="s">
        <v>30</v>
      </c>
      <c r="N6" s="7" t="s">
        <v>31</v>
      </c>
      <c r="O6" s="7" t="s">
        <v>30</v>
      </c>
      <c r="P6" s="5"/>
      <c r="Q6" s="5"/>
    </row>
    <row r="7">
      <c r="A7" s="6" t="s">
        <v>92</v>
      </c>
      <c r="B7" s="6" t="s">
        <v>93</v>
      </c>
      <c r="C7" s="6" t="s">
        <v>36</v>
      </c>
      <c r="D7" s="11" t="s">
        <v>94</v>
      </c>
      <c r="E7" s="6"/>
      <c r="F7" s="5"/>
      <c r="G7" s="5"/>
      <c r="H7" s="5"/>
      <c r="I7" s="5"/>
      <c r="J7" s="7">
        <v>40.0</v>
      </c>
      <c r="K7" s="7">
        <v>60.0</v>
      </c>
      <c r="L7" s="7">
        <v>1.0</v>
      </c>
      <c r="M7" s="10" t="s">
        <v>30</v>
      </c>
      <c r="N7" s="5"/>
      <c r="O7" s="7" t="s">
        <v>30</v>
      </c>
      <c r="P7" s="7" t="s">
        <v>30</v>
      </c>
      <c r="Q7" s="5"/>
    </row>
    <row r="8">
      <c r="A8" s="6" t="s">
        <v>103</v>
      </c>
      <c r="B8" s="6" t="s">
        <v>104</v>
      </c>
      <c r="C8" s="6" t="s">
        <v>26</v>
      </c>
      <c r="D8" s="6"/>
      <c r="E8" s="6"/>
      <c r="F8" s="7">
        <v>0.05</v>
      </c>
      <c r="G8" s="8">
        <v>150.0</v>
      </c>
      <c r="H8" s="8">
        <v>1250.0</v>
      </c>
      <c r="I8" s="9">
        <f>H8+G8</f>
        <v>1400</v>
      </c>
      <c r="J8" s="7">
        <v>40.0</v>
      </c>
      <c r="K8" s="7">
        <v>60.0</v>
      </c>
      <c r="L8" s="7">
        <v>1.0</v>
      </c>
      <c r="M8" s="10" t="s">
        <v>30</v>
      </c>
      <c r="N8" s="7" t="s">
        <v>31</v>
      </c>
      <c r="O8" s="7" t="s">
        <v>30</v>
      </c>
      <c r="P8" s="5"/>
      <c r="Q8" s="5"/>
    </row>
    <row r="9">
      <c r="A9" s="6" t="s">
        <v>115</v>
      </c>
      <c r="B9" s="6" t="s">
        <v>116</v>
      </c>
      <c r="C9" s="6" t="s">
        <v>36</v>
      </c>
      <c r="D9" s="6" t="s">
        <v>117</v>
      </c>
      <c r="E9" s="6"/>
      <c r="F9" s="5"/>
      <c r="G9" s="5"/>
      <c r="H9" s="5"/>
      <c r="I9" s="5"/>
      <c r="J9" s="7">
        <v>40.0</v>
      </c>
      <c r="K9" s="7">
        <v>60.0</v>
      </c>
      <c r="L9" s="7">
        <v>1.0</v>
      </c>
      <c r="M9" s="10" t="s">
        <v>30</v>
      </c>
      <c r="N9" s="7" t="s">
        <v>31</v>
      </c>
      <c r="O9" s="7" t="s">
        <v>30</v>
      </c>
      <c r="P9" s="5"/>
      <c r="Q9" s="5"/>
    </row>
    <row r="10">
      <c r="A10" s="6" t="s">
        <v>119</v>
      </c>
      <c r="B10" s="6" t="s">
        <v>122</v>
      </c>
      <c r="C10" s="6" t="s">
        <v>36</v>
      </c>
      <c r="D10" s="6" t="s">
        <v>117</v>
      </c>
      <c r="E10" s="6"/>
      <c r="F10" s="5"/>
      <c r="G10" s="5"/>
      <c r="H10" s="5"/>
      <c r="I10" s="5"/>
      <c r="J10" s="7">
        <v>80.0</v>
      </c>
      <c r="K10" s="7">
        <v>120.0</v>
      </c>
      <c r="L10" s="7">
        <v>1.0</v>
      </c>
      <c r="M10" s="10" t="s">
        <v>30</v>
      </c>
      <c r="N10" s="7" t="s">
        <v>31</v>
      </c>
      <c r="O10" s="7" t="s">
        <v>30</v>
      </c>
      <c r="P10" s="5"/>
      <c r="Q10" s="5"/>
    </row>
    <row r="11">
      <c r="A11" s="6" t="s">
        <v>124</v>
      </c>
      <c r="B11" s="6" t="s">
        <v>125</v>
      </c>
      <c r="C11" s="6" t="s">
        <v>26</v>
      </c>
      <c r="D11" s="6"/>
      <c r="E11" s="6"/>
      <c r="F11" s="7">
        <v>0.05</v>
      </c>
      <c r="G11" s="8">
        <v>150.0</v>
      </c>
      <c r="H11" s="8">
        <v>1250.0</v>
      </c>
      <c r="I11" s="9">
        <f>H11+G11</f>
        <v>1400</v>
      </c>
      <c r="J11" s="5"/>
      <c r="K11" s="5"/>
      <c r="L11" s="5"/>
      <c r="M11" s="5"/>
      <c r="N11" s="5"/>
      <c r="O11" s="7" t="s">
        <v>30</v>
      </c>
      <c r="P11" s="5"/>
      <c r="Q11" s="7" t="s">
        <v>133</v>
      </c>
    </row>
    <row r="12">
      <c r="A12" s="6" t="s">
        <v>135</v>
      </c>
      <c r="B12" s="6" t="s">
        <v>136</v>
      </c>
      <c r="C12" s="6" t="s">
        <v>36</v>
      </c>
      <c r="D12" s="6" t="s">
        <v>117</v>
      </c>
      <c r="E12" s="6"/>
      <c r="F12" s="5"/>
      <c r="G12" s="5"/>
      <c r="H12" s="5"/>
      <c r="I12" s="5"/>
      <c r="J12" s="7">
        <v>40.0</v>
      </c>
      <c r="K12" s="7">
        <v>60.0</v>
      </c>
      <c r="L12" s="7">
        <v>1.0</v>
      </c>
      <c r="M12" s="10" t="s">
        <v>30</v>
      </c>
      <c r="N12" s="7" t="s">
        <v>31</v>
      </c>
      <c r="O12" s="7" t="s">
        <v>30</v>
      </c>
      <c r="P12" s="5"/>
      <c r="Q12" s="5"/>
    </row>
    <row r="13">
      <c r="A13" s="6" t="s">
        <v>139</v>
      </c>
      <c r="B13" s="6" t="s">
        <v>141</v>
      </c>
      <c r="C13" s="6" t="s">
        <v>36</v>
      </c>
      <c r="D13" s="6" t="s">
        <v>143</v>
      </c>
      <c r="E13" s="6"/>
      <c r="F13" s="5"/>
      <c r="G13" s="5"/>
      <c r="H13" s="5"/>
      <c r="I13" s="5"/>
      <c r="J13" s="7"/>
      <c r="K13" s="5"/>
      <c r="L13" s="5"/>
      <c r="M13" s="5"/>
      <c r="N13" s="5"/>
      <c r="O13" s="7" t="s">
        <v>30</v>
      </c>
      <c r="P13" s="5"/>
      <c r="Q13" s="7" t="s">
        <v>133</v>
      </c>
    </row>
    <row r="14">
      <c r="A14" s="6" t="s">
        <v>146</v>
      </c>
      <c r="B14" s="6" t="s">
        <v>147</v>
      </c>
      <c r="C14" s="6" t="s">
        <v>36</v>
      </c>
      <c r="D14" s="6" t="s">
        <v>117</v>
      </c>
      <c r="E14" s="6"/>
      <c r="F14" s="5"/>
      <c r="G14" s="5"/>
      <c r="H14" s="5"/>
      <c r="I14" s="5"/>
      <c r="J14" s="7">
        <v>40.0</v>
      </c>
      <c r="K14" s="7">
        <v>60.0</v>
      </c>
      <c r="L14" s="7">
        <v>1.0</v>
      </c>
      <c r="M14" s="10" t="s">
        <v>30</v>
      </c>
      <c r="N14" s="7" t="s">
        <v>31</v>
      </c>
      <c r="O14" s="7" t="s">
        <v>30</v>
      </c>
      <c r="P14" s="5"/>
      <c r="Q14" s="5"/>
    </row>
    <row r="15">
      <c r="A15" s="6" t="s">
        <v>151</v>
      </c>
      <c r="B15" s="6" t="s">
        <v>153</v>
      </c>
      <c r="C15" s="6" t="s">
        <v>36</v>
      </c>
      <c r="D15" s="11" t="s">
        <v>73</v>
      </c>
      <c r="E15" s="6"/>
      <c r="F15" s="5"/>
      <c r="G15" s="5"/>
      <c r="H15" s="5"/>
      <c r="I15" s="5"/>
      <c r="J15" s="7">
        <v>60.0</v>
      </c>
      <c r="K15" s="7">
        <v>60.0</v>
      </c>
      <c r="L15" s="7">
        <v>1.0</v>
      </c>
      <c r="M15" s="10" t="s">
        <v>30</v>
      </c>
      <c r="N15" s="7" t="s">
        <v>31</v>
      </c>
      <c r="O15" s="7" t="s">
        <v>30</v>
      </c>
      <c r="P15" s="7" t="s">
        <v>30</v>
      </c>
      <c r="Q15" s="5"/>
    </row>
    <row r="16">
      <c r="A16" s="6" t="s">
        <v>157</v>
      </c>
      <c r="B16" s="6" t="s">
        <v>158</v>
      </c>
      <c r="C16" s="6" t="s">
        <v>26</v>
      </c>
      <c r="D16" s="6"/>
      <c r="E16" s="6"/>
      <c r="F16" s="7">
        <v>0.05</v>
      </c>
      <c r="G16" s="8">
        <v>150.0</v>
      </c>
      <c r="H16" s="8">
        <v>1250.0</v>
      </c>
      <c r="I16" s="9">
        <f>H16+G16</f>
        <v>1400</v>
      </c>
      <c r="J16" s="7">
        <v>80.0</v>
      </c>
      <c r="K16" s="7">
        <v>120.0</v>
      </c>
      <c r="L16" s="7">
        <v>1.0</v>
      </c>
      <c r="M16" s="10" t="s">
        <v>30</v>
      </c>
      <c r="N16" s="7" t="s">
        <v>31</v>
      </c>
      <c r="O16" s="7" t="s">
        <v>30</v>
      </c>
      <c r="P16" s="5"/>
      <c r="Q16" s="5"/>
    </row>
    <row r="17">
      <c r="A17" s="6" t="s">
        <v>161</v>
      </c>
      <c r="B17" s="6" t="s">
        <v>162</v>
      </c>
      <c r="C17" s="6" t="s">
        <v>36</v>
      </c>
      <c r="D17" s="11" t="s">
        <v>73</v>
      </c>
      <c r="E17" s="6"/>
      <c r="F17" s="5"/>
      <c r="G17" s="5"/>
      <c r="H17" s="5"/>
      <c r="I17" s="5"/>
      <c r="J17" s="7">
        <v>60.0</v>
      </c>
      <c r="K17" s="7">
        <v>120.0</v>
      </c>
      <c r="L17" s="7">
        <v>1.0</v>
      </c>
      <c r="M17" s="10" t="s">
        <v>30</v>
      </c>
      <c r="N17" s="7" t="s">
        <v>31</v>
      </c>
      <c r="O17" s="7" t="s">
        <v>30</v>
      </c>
      <c r="P17" s="7" t="s">
        <v>30</v>
      </c>
      <c r="Q17" s="5"/>
    </row>
    <row r="18">
      <c r="A18" s="6" t="s">
        <v>165</v>
      </c>
      <c r="B18" s="6" t="s">
        <v>166</v>
      </c>
      <c r="C18" s="6" t="s">
        <v>26</v>
      </c>
      <c r="D18" s="6"/>
      <c r="E18" s="6"/>
      <c r="F18" s="7">
        <v>0.05</v>
      </c>
      <c r="G18" s="8">
        <v>150.0</v>
      </c>
      <c r="H18" s="8">
        <v>1250.0</v>
      </c>
      <c r="I18" s="9">
        <f t="shared" ref="I18:I23" si="3">H18+G18</f>
        <v>1400</v>
      </c>
      <c r="J18" s="7">
        <v>60.0</v>
      </c>
      <c r="K18" s="7">
        <v>60.0</v>
      </c>
      <c r="L18" s="7">
        <v>1.0</v>
      </c>
      <c r="M18" s="10" t="s">
        <v>30</v>
      </c>
      <c r="N18" s="7" t="s">
        <v>31</v>
      </c>
      <c r="O18" s="7" t="s">
        <v>30</v>
      </c>
      <c r="P18" s="5"/>
      <c r="Q18" s="5"/>
    </row>
    <row r="19">
      <c r="A19" s="6" t="s">
        <v>171</v>
      </c>
      <c r="B19" s="6" t="s">
        <v>173</v>
      </c>
      <c r="C19" s="6" t="s">
        <v>26</v>
      </c>
      <c r="D19" s="6"/>
      <c r="E19" s="6"/>
      <c r="F19" s="7">
        <v>0.05</v>
      </c>
      <c r="G19" s="8">
        <v>150.0</v>
      </c>
      <c r="H19" s="8">
        <v>1250.0</v>
      </c>
      <c r="I19" s="9">
        <f t="shared" si="3"/>
        <v>1400</v>
      </c>
      <c r="J19" s="5"/>
      <c r="K19" s="5"/>
      <c r="L19" s="5"/>
      <c r="M19" s="5"/>
      <c r="N19" s="5"/>
      <c r="O19" s="7" t="s">
        <v>30</v>
      </c>
      <c r="P19" s="5"/>
      <c r="Q19" s="7" t="s">
        <v>133</v>
      </c>
    </row>
    <row r="20">
      <c r="A20" s="6" t="s">
        <v>179</v>
      </c>
      <c r="B20" s="6" t="s">
        <v>180</v>
      </c>
      <c r="C20" s="6" t="s">
        <v>26</v>
      </c>
      <c r="D20" s="6"/>
      <c r="E20" s="6"/>
      <c r="F20" s="7">
        <v>0.05</v>
      </c>
      <c r="G20" s="8">
        <v>150.0</v>
      </c>
      <c r="H20" s="8">
        <v>1250.0</v>
      </c>
      <c r="I20" s="9">
        <f t="shared" si="3"/>
        <v>1400</v>
      </c>
      <c r="J20" s="5"/>
      <c r="K20" s="5"/>
      <c r="L20" s="5"/>
      <c r="M20" s="5"/>
      <c r="N20" s="5"/>
      <c r="O20" s="7" t="s">
        <v>30</v>
      </c>
      <c r="P20" s="5"/>
      <c r="Q20" s="7" t="s">
        <v>133</v>
      </c>
    </row>
    <row r="21" ht="15.75" customHeight="1">
      <c r="A21" s="6" t="s">
        <v>184</v>
      </c>
      <c r="B21" s="6" t="s">
        <v>185</v>
      </c>
      <c r="C21" s="6" t="s">
        <v>26</v>
      </c>
      <c r="D21" s="6"/>
      <c r="E21" s="6"/>
      <c r="F21" s="7">
        <v>0.05</v>
      </c>
      <c r="G21" s="8">
        <v>150.0</v>
      </c>
      <c r="H21" s="8">
        <v>1250.0</v>
      </c>
      <c r="I21" s="9">
        <f t="shared" si="3"/>
        <v>1400</v>
      </c>
      <c r="J21" s="7">
        <v>80.0</v>
      </c>
      <c r="K21" s="7">
        <v>120.0</v>
      </c>
      <c r="L21" s="7">
        <v>1.0</v>
      </c>
      <c r="M21" s="10" t="s">
        <v>30</v>
      </c>
      <c r="N21" s="7" t="s">
        <v>31</v>
      </c>
      <c r="O21" s="7" t="s">
        <v>30</v>
      </c>
      <c r="P21" s="5"/>
      <c r="Q21" s="5"/>
    </row>
    <row r="22" ht="15.75" customHeight="1">
      <c r="A22" s="6" t="s">
        <v>189</v>
      </c>
      <c r="B22" s="6" t="s">
        <v>190</v>
      </c>
      <c r="C22" s="6" t="s">
        <v>26</v>
      </c>
      <c r="D22" s="6"/>
      <c r="E22" s="6"/>
      <c r="F22" s="7">
        <v>0.05</v>
      </c>
      <c r="G22" s="8">
        <v>150.0</v>
      </c>
      <c r="H22" s="8">
        <v>1250.0</v>
      </c>
      <c r="I22" s="9">
        <f t="shared" si="3"/>
        <v>1400</v>
      </c>
      <c r="J22" s="7">
        <v>60.0</v>
      </c>
      <c r="K22" s="7">
        <v>120.0</v>
      </c>
      <c r="L22" s="7">
        <v>1.0</v>
      </c>
      <c r="M22" s="10" t="s">
        <v>30</v>
      </c>
      <c r="N22" s="7" t="s">
        <v>31</v>
      </c>
      <c r="O22" s="7" t="s">
        <v>30</v>
      </c>
      <c r="P22" s="5"/>
      <c r="Q22" s="5"/>
    </row>
    <row r="23" ht="15.75" customHeight="1">
      <c r="A23" s="6" t="s">
        <v>193</v>
      </c>
      <c r="B23" s="6" t="s">
        <v>195</v>
      </c>
      <c r="C23" s="6" t="s">
        <v>26</v>
      </c>
      <c r="D23" s="6"/>
      <c r="E23" s="6"/>
      <c r="F23" s="7">
        <v>0.05</v>
      </c>
      <c r="G23" s="8">
        <v>150.0</v>
      </c>
      <c r="H23" s="8">
        <v>1250.0</v>
      </c>
      <c r="I23" s="9">
        <f t="shared" si="3"/>
        <v>1400</v>
      </c>
      <c r="J23" s="7">
        <v>60.0</v>
      </c>
      <c r="K23" s="7">
        <v>120.0</v>
      </c>
      <c r="L23" s="7">
        <v>1.0</v>
      </c>
      <c r="M23" s="10" t="s">
        <v>30</v>
      </c>
      <c r="N23" s="7" t="s">
        <v>31</v>
      </c>
      <c r="O23" s="7" t="s">
        <v>30</v>
      </c>
      <c r="P23" s="5"/>
      <c r="Q23" s="5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0"/>
    <col customWidth="1" min="2" max="2" width="30.0"/>
    <col customWidth="1" min="3" max="3" width="11.0"/>
    <col customWidth="1" min="4" max="4" width="22.0"/>
    <col customWidth="1" min="5" max="5" width="12.0"/>
    <col customWidth="1" min="6" max="6" width="11.0"/>
    <col customWidth="1" min="7" max="8" width="15.0"/>
    <col customWidth="1" min="9" max="9" width="13.0"/>
    <col customWidth="1" min="10" max="12" width="9.0"/>
    <col customWidth="1" min="13" max="13" width="17.0"/>
    <col customWidth="1" min="14" max="14" width="11.0"/>
    <col customWidth="1" min="15" max="15" width="15.0"/>
    <col customWidth="1" min="16" max="16" width="22.0"/>
    <col customWidth="1" min="17" max="17" width="28.0"/>
    <col customWidth="1" min="18" max="26" width="8.71"/>
  </cols>
  <sheetData>
    <row r="1">
      <c r="A1" s="4" t="s">
        <v>5</v>
      </c>
      <c r="B1" s="4" t="s">
        <v>8</v>
      </c>
      <c r="C1" s="4" t="s">
        <v>9</v>
      </c>
      <c r="D1" s="4" t="s">
        <v>10</v>
      </c>
      <c r="E1" s="4" t="s">
        <v>11</v>
      </c>
      <c r="F1" s="4" t="s">
        <v>12</v>
      </c>
      <c r="G1" s="4" t="s">
        <v>13</v>
      </c>
      <c r="H1" s="4" t="s">
        <v>14</v>
      </c>
      <c r="I1" s="4" t="s">
        <v>15</v>
      </c>
      <c r="J1" s="4" t="s">
        <v>16</v>
      </c>
      <c r="K1" s="4" t="s">
        <v>17</v>
      </c>
      <c r="L1" s="4" t="s">
        <v>18</v>
      </c>
      <c r="M1" s="4" t="s">
        <v>19</v>
      </c>
      <c r="N1" s="4" t="s">
        <v>20</v>
      </c>
      <c r="O1" s="4" t="s">
        <v>21</v>
      </c>
      <c r="P1" s="4" t="s">
        <v>22</v>
      </c>
      <c r="Q1" s="4" t="s">
        <v>23</v>
      </c>
    </row>
    <row r="2">
      <c r="A2" s="6" t="s">
        <v>29</v>
      </c>
      <c r="B2" s="6" t="s">
        <v>34</v>
      </c>
      <c r="C2" s="6" t="s">
        <v>26</v>
      </c>
      <c r="D2" s="6"/>
      <c r="E2" s="6"/>
      <c r="F2" s="7">
        <v>0.03</v>
      </c>
      <c r="G2" s="8">
        <v>150.0</v>
      </c>
      <c r="H2" s="8">
        <v>800.0</v>
      </c>
      <c r="I2" s="9">
        <f t="shared" ref="I2:I65" si="1">H2+G2</f>
        <v>950</v>
      </c>
      <c r="J2" s="7">
        <v>60.0</v>
      </c>
      <c r="K2" s="7">
        <v>30.0</v>
      </c>
      <c r="L2" s="7">
        <v>1.0</v>
      </c>
      <c r="M2" s="7" t="s">
        <v>30</v>
      </c>
      <c r="N2" s="7" t="s">
        <v>31</v>
      </c>
      <c r="O2" s="7" t="s">
        <v>30</v>
      </c>
      <c r="P2" s="5"/>
      <c r="Q2" s="5"/>
    </row>
    <row r="3">
      <c r="A3" s="6" t="s">
        <v>57</v>
      </c>
      <c r="B3" s="6" t="s">
        <v>58</v>
      </c>
      <c r="C3" s="6" t="s">
        <v>26</v>
      </c>
      <c r="D3" s="6"/>
      <c r="E3" s="6"/>
      <c r="F3" s="7">
        <v>0.03</v>
      </c>
      <c r="G3" s="8">
        <v>150.0</v>
      </c>
      <c r="H3" s="8">
        <v>800.0</v>
      </c>
      <c r="I3" s="9">
        <f t="shared" si="1"/>
        <v>950</v>
      </c>
      <c r="J3" s="7">
        <v>60.0</v>
      </c>
      <c r="K3" s="7">
        <v>30.0</v>
      </c>
      <c r="L3" s="7">
        <v>1.0</v>
      </c>
      <c r="M3" s="7" t="s">
        <v>30</v>
      </c>
      <c r="N3" s="7" t="s">
        <v>31</v>
      </c>
      <c r="O3" s="7" t="s">
        <v>30</v>
      </c>
      <c r="P3" s="5"/>
      <c r="Q3" s="5"/>
    </row>
    <row r="4">
      <c r="A4" s="6" t="s">
        <v>62</v>
      </c>
      <c r="B4" s="6" t="s">
        <v>64</v>
      </c>
      <c r="C4" s="6" t="s">
        <v>26</v>
      </c>
      <c r="D4" s="6"/>
      <c r="E4" s="6"/>
      <c r="F4" s="7">
        <v>0.03</v>
      </c>
      <c r="G4" s="8">
        <v>150.0</v>
      </c>
      <c r="H4" s="8">
        <v>800.0</v>
      </c>
      <c r="I4" s="9">
        <f t="shared" si="1"/>
        <v>950</v>
      </c>
      <c r="J4" s="7">
        <v>60.0</v>
      </c>
      <c r="K4" s="7">
        <v>30.0</v>
      </c>
      <c r="L4" s="7">
        <v>1.0</v>
      </c>
      <c r="M4" s="7" t="s">
        <v>30</v>
      </c>
      <c r="N4" s="7" t="s">
        <v>31</v>
      </c>
      <c r="O4" s="7" t="s">
        <v>30</v>
      </c>
      <c r="P4" s="5"/>
      <c r="Q4" s="5"/>
    </row>
    <row r="5">
      <c r="A5" s="6" t="s">
        <v>66</v>
      </c>
      <c r="B5" s="6" t="s">
        <v>67</v>
      </c>
      <c r="C5" s="6" t="s">
        <v>26</v>
      </c>
      <c r="D5" s="6"/>
      <c r="E5" s="6"/>
      <c r="F5" s="7">
        <v>0.03</v>
      </c>
      <c r="G5" s="8">
        <v>150.0</v>
      </c>
      <c r="H5" s="8">
        <v>800.0</v>
      </c>
      <c r="I5" s="9">
        <f t="shared" si="1"/>
        <v>950</v>
      </c>
      <c r="J5" s="7">
        <v>60.0</v>
      </c>
      <c r="K5" s="7">
        <v>30.0</v>
      </c>
      <c r="L5" s="7">
        <v>1.0</v>
      </c>
      <c r="M5" s="7" t="s">
        <v>30</v>
      </c>
      <c r="N5" s="7" t="s">
        <v>31</v>
      </c>
      <c r="O5" s="7" t="s">
        <v>30</v>
      </c>
      <c r="P5" s="5"/>
      <c r="Q5" s="5"/>
    </row>
    <row r="6">
      <c r="A6" s="6" t="s">
        <v>74</v>
      </c>
      <c r="B6" s="6" t="s">
        <v>75</v>
      </c>
      <c r="C6" s="6" t="s">
        <v>26</v>
      </c>
      <c r="D6" s="6"/>
      <c r="E6" s="6"/>
      <c r="F6" s="7">
        <v>0.03</v>
      </c>
      <c r="G6" s="8">
        <v>150.0</v>
      </c>
      <c r="H6" s="8">
        <v>800.0</v>
      </c>
      <c r="I6" s="9">
        <f t="shared" si="1"/>
        <v>950</v>
      </c>
      <c r="J6" s="7">
        <v>60.0</v>
      </c>
      <c r="K6" s="7">
        <v>30.0</v>
      </c>
      <c r="L6" s="7">
        <v>1.0</v>
      </c>
      <c r="M6" s="7" t="s">
        <v>30</v>
      </c>
      <c r="N6" s="7" t="s">
        <v>31</v>
      </c>
      <c r="O6" s="7" t="s">
        <v>30</v>
      </c>
      <c r="P6" s="5"/>
      <c r="Q6" s="5"/>
    </row>
    <row r="7">
      <c r="A7" s="6" t="s">
        <v>81</v>
      </c>
      <c r="B7" s="6" t="s">
        <v>82</v>
      </c>
      <c r="C7" s="6" t="s">
        <v>26</v>
      </c>
      <c r="D7" s="6"/>
      <c r="E7" s="6"/>
      <c r="F7" s="7">
        <v>0.03</v>
      </c>
      <c r="G7" s="8">
        <v>150.0</v>
      </c>
      <c r="H7" s="8">
        <v>800.0</v>
      </c>
      <c r="I7" s="9">
        <f t="shared" si="1"/>
        <v>950</v>
      </c>
      <c r="J7" s="7">
        <v>60.0</v>
      </c>
      <c r="K7" s="7">
        <v>30.0</v>
      </c>
      <c r="L7" s="7">
        <v>1.0</v>
      </c>
      <c r="M7" s="7" t="s">
        <v>30</v>
      </c>
      <c r="N7" s="7" t="s">
        <v>31</v>
      </c>
      <c r="O7" s="7" t="s">
        <v>30</v>
      </c>
      <c r="P7" s="5"/>
      <c r="Q7" s="5"/>
    </row>
    <row r="8">
      <c r="A8" s="6" t="s">
        <v>86</v>
      </c>
      <c r="B8" s="6" t="s">
        <v>87</v>
      </c>
      <c r="C8" s="6" t="s">
        <v>26</v>
      </c>
      <c r="D8" s="6"/>
      <c r="E8" s="6"/>
      <c r="F8" s="7">
        <v>0.03</v>
      </c>
      <c r="G8" s="8">
        <v>150.0</v>
      </c>
      <c r="H8" s="8">
        <v>800.0</v>
      </c>
      <c r="I8" s="9">
        <f t="shared" si="1"/>
        <v>950</v>
      </c>
      <c r="J8" s="7">
        <v>60.0</v>
      </c>
      <c r="K8" s="7">
        <v>30.0</v>
      </c>
      <c r="L8" s="7">
        <v>1.0</v>
      </c>
      <c r="M8" s="7" t="s">
        <v>30</v>
      </c>
      <c r="N8" s="7" t="s">
        <v>31</v>
      </c>
      <c r="O8" s="7" t="s">
        <v>30</v>
      </c>
      <c r="P8" s="5"/>
      <c r="Q8" s="5"/>
    </row>
    <row r="9">
      <c r="A9" s="6" t="s">
        <v>95</v>
      </c>
      <c r="B9" s="6" t="s">
        <v>96</v>
      </c>
      <c r="C9" s="6" t="s">
        <v>26</v>
      </c>
      <c r="D9" s="6"/>
      <c r="E9" s="6"/>
      <c r="F9" s="7">
        <v>0.03</v>
      </c>
      <c r="G9" s="8">
        <v>150.0</v>
      </c>
      <c r="H9" s="8">
        <v>800.0</v>
      </c>
      <c r="I9" s="9">
        <f t="shared" si="1"/>
        <v>950</v>
      </c>
      <c r="J9" s="7">
        <v>60.0</v>
      </c>
      <c r="K9" s="7">
        <v>30.0</v>
      </c>
      <c r="L9" s="7">
        <v>1.0</v>
      </c>
      <c r="M9" s="7" t="s">
        <v>30</v>
      </c>
      <c r="N9" s="7" t="s">
        <v>31</v>
      </c>
      <c r="O9" s="7" t="s">
        <v>30</v>
      </c>
      <c r="P9" s="5"/>
      <c r="Q9" s="5"/>
    </row>
    <row r="10">
      <c r="A10" s="6" t="s">
        <v>99</v>
      </c>
      <c r="B10" s="6" t="s">
        <v>101</v>
      </c>
      <c r="C10" s="6" t="s">
        <v>26</v>
      </c>
      <c r="D10" s="6"/>
      <c r="E10" s="6"/>
      <c r="F10" s="7">
        <v>0.03</v>
      </c>
      <c r="G10" s="8">
        <v>150.0</v>
      </c>
      <c r="H10" s="8">
        <v>800.0</v>
      </c>
      <c r="I10" s="9">
        <f t="shared" si="1"/>
        <v>950</v>
      </c>
      <c r="J10" s="7">
        <v>60.0</v>
      </c>
      <c r="K10" s="7">
        <v>30.0</v>
      </c>
      <c r="L10" s="7">
        <v>1.0</v>
      </c>
      <c r="M10" s="7" t="s">
        <v>30</v>
      </c>
      <c r="N10" s="7" t="s">
        <v>31</v>
      </c>
      <c r="O10" s="7" t="s">
        <v>30</v>
      </c>
      <c r="P10" s="5"/>
      <c r="Q10" s="5"/>
    </row>
    <row r="11">
      <c r="A11" s="6" t="s">
        <v>107</v>
      </c>
      <c r="B11" s="6" t="s">
        <v>108</v>
      </c>
      <c r="C11" s="6" t="s">
        <v>26</v>
      </c>
      <c r="D11" s="6"/>
      <c r="E11" s="6"/>
      <c r="F11" s="7">
        <v>0.03</v>
      </c>
      <c r="G11" s="8">
        <v>150.0</v>
      </c>
      <c r="H11" s="8">
        <v>800.0</v>
      </c>
      <c r="I11" s="9">
        <f t="shared" si="1"/>
        <v>950</v>
      </c>
      <c r="J11" s="7">
        <v>60.0</v>
      </c>
      <c r="K11" s="7">
        <v>30.0</v>
      </c>
      <c r="L11" s="7">
        <v>1.0</v>
      </c>
      <c r="M11" s="7" t="s">
        <v>30</v>
      </c>
      <c r="N11" s="7" t="s">
        <v>31</v>
      </c>
      <c r="O11" s="7" t="s">
        <v>30</v>
      </c>
      <c r="P11" s="5"/>
      <c r="Q11" s="5"/>
    </row>
    <row r="12">
      <c r="A12" s="6" t="s">
        <v>111</v>
      </c>
      <c r="B12" s="6" t="s">
        <v>113</v>
      </c>
      <c r="C12" s="6" t="s">
        <v>26</v>
      </c>
      <c r="D12" s="6"/>
      <c r="E12" s="6"/>
      <c r="F12" s="7">
        <v>0.03</v>
      </c>
      <c r="G12" s="8">
        <v>150.0</v>
      </c>
      <c r="H12" s="8">
        <v>800.0</v>
      </c>
      <c r="I12" s="9">
        <f t="shared" si="1"/>
        <v>950</v>
      </c>
      <c r="J12" s="7">
        <v>60.0</v>
      </c>
      <c r="K12" s="7">
        <v>30.0</v>
      </c>
      <c r="L12" s="7">
        <v>1.0</v>
      </c>
      <c r="M12" s="7" t="s">
        <v>30</v>
      </c>
      <c r="N12" s="7" t="s">
        <v>31</v>
      </c>
      <c r="O12" s="7" t="s">
        <v>30</v>
      </c>
      <c r="P12" s="5"/>
      <c r="Q12" s="5"/>
    </row>
    <row r="13">
      <c r="A13" s="6" t="s">
        <v>120</v>
      </c>
      <c r="B13" s="6" t="s">
        <v>123</v>
      </c>
      <c r="C13" s="6" t="s">
        <v>26</v>
      </c>
      <c r="D13" s="6"/>
      <c r="E13" s="6"/>
      <c r="F13" s="7">
        <v>0.03</v>
      </c>
      <c r="G13" s="8">
        <v>150.0</v>
      </c>
      <c r="H13" s="8">
        <v>800.0</v>
      </c>
      <c r="I13" s="9">
        <f t="shared" si="1"/>
        <v>950</v>
      </c>
      <c r="J13" s="7">
        <v>60.0</v>
      </c>
      <c r="K13" s="7">
        <v>30.0</v>
      </c>
      <c r="L13" s="7">
        <v>1.0</v>
      </c>
      <c r="M13" s="7" t="s">
        <v>30</v>
      </c>
      <c r="N13" s="7" t="s">
        <v>31</v>
      </c>
      <c r="O13" s="7" t="s">
        <v>30</v>
      </c>
      <c r="P13" s="5"/>
      <c r="Q13" s="5"/>
    </row>
    <row r="14">
      <c r="A14" s="6" t="s">
        <v>127</v>
      </c>
      <c r="B14" s="6" t="s">
        <v>129</v>
      </c>
      <c r="C14" s="6" t="s">
        <v>26</v>
      </c>
      <c r="D14" s="6"/>
      <c r="E14" s="6"/>
      <c r="F14" s="7">
        <v>0.03</v>
      </c>
      <c r="G14" s="8">
        <v>150.0</v>
      </c>
      <c r="H14" s="8">
        <v>800.0</v>
      </c>
      <c r="I14" s="9">
        <f t="shared" si="1"/>
        <v>950</v>
      </c>
      <c r="J14" s="7">
        <v>60.0</v>
      </c>
      <c r="K14" s="7">
        <v>30.0</v>
      </c>
      <c r="L14" s="7">
        <v>1.0</v>
      </c>
      <c r="M14" s="7" t="s">
        <v>30</v>
      </c>
      <c r="N14" s="7" t="s">
        <v>31</v>
      </c>
      <c r="O14" s="7" t="s">
        <v>30</v>
      </c>
      <c r="P14" s="5"/>
      <c r="Q14" s="5"/>
    </row>
    <row r="15">
      <c r="A15" s="6" t="s">
        <v>130</v>
      </c>
      <c r="B15" s="6" t="s">
        <v>131</v>
      </c>
      <c r="C15" s="6" t="s">
        <v>26</v>
      </c>
      <c r="D15" s="6"/>
      <c r="E15" s="6"/>
      <c r="F15" s="7">
        <v>0.03</v>
      </c>
      <c r="G15" s="8">
        <v>150.0</v>
      </c>
      <c r="H15" s="8">
        <v>800.0</v>
      </c>
      <c r="I15" s="9">
        <f t="shared" si="1"/>
        <v>950</v>
      </c>
      <c r="J15" s="7">
        <v>60.0</v>
      </c>
      <c r="K15" s="7">
        <v>30.0</v>
      </c>
      <c r="L15" s="7">
        <v>1.0</v>
      </c>
      <c r="M15" s="7" t="s">
        <v>30</v>
      </c>
      <c r="N15" s="7" t="s">
        <v>31</v>
      </c>
      <c r="O15" s="7" t="s">
        <v>30</v>
      </c>
      <c r="P15" s="5"/>
      <c r="Q15" s="5"/>
    </row>
    <row r="16">
      <c r="A16" s="6" t="s">
        <v>137</v>
      </c>
      <c r="B16" s="6" t="s">
        <v>138</v>
      </c>
      <c r="C16" s="6" t="s">
        <v>26</v>
      </c>
      <c r="D16" s="6"/>
      <c r="E16" s="6"/>
      <c r="F16" s="7">
        <v>0.03</v>
      </c>
      <c r="G16" s="8">
        <v>150.0</v>
      </c>
      <c r="H16" s="8">
        <v>800.0</v>
      </c>
      <c r="I16" s="9">
        <f t="shared" si="1"/>
        <v>950</v>
      </c>
      <c r="J16" s="7">
        <v>60.0</v>
      </c>
      <c r="K16" s="7">
        <v>30.0</v>
      </c>
      <c r="L16" s="7">
        <v>1.0</v>
      </c>
      <c r="M16" s="7" t="s">
        <v>30</v>
      </c>
      <c r="N16" s="7" t="s">
        <v>31</v>
      </c>
      <c r="O16" s="7" t="s">
        <v>30</v>
      </c>
      <c r="P16" s="5"/>
      <c r="Q16" s="5"/>
    </row>
    <row r="17">
      <c r="A17" s="6" t="s">
        <v>144</v>
      </c>
      <c r="B17" s="6" t="s">
        <v>145</v>
      </c>
      <c r="C17" s="6" t="s">
        <v>26</v>
      </c>
      <c r="D17" s="6"/>
      <c r="E17" s="6"/>
      <c r="F17" s="7">
        <v>0.03</v>
      </c>
      <c r="G17" s="8">
        <v>150.0</v>
      </c>
      <c r="H17" s="8">
        <v>800.0</v>
      </c>
      <c r="I17" s="9">
        <f t="shared" si="1"/>
        <v>950</v>
      </c>
      <c r="J17" s="7">
        <v>60.0</v>
      </c>
      <c r="K17" s="7">
        <v>30.0</v>
      </c>
      <c r="L17" s="7">
        <v>1.0</v>
      </c>
      <c r="M17" s="7" t="s">
        <v>30</v>
      </c>
      <c r="N17" s="7" t="s">
        <v>31</v>
      </c>
      <c r="O17" s="7" t="s">
        <v>30</v>
      </c>
      <c r="P17" s="5"/>
      <c r="Q17" s="5"/>
    </row>
    <row r="18">
      <c r="A18" s="6" t="s">
        <v>152</v>
      </c>
      <c r="B18" s="6" t="s">
        <v>154</v>
      </c>
      <c r="C18" s="6" t="s">
        <v>26</v>
      </c>
      <c r="D18" s="6"/>
      <c r="E18" s="6"/>
      <c r="F18" s="7">
        <v>0.03</v>
      </c>
      <c r="G18" s="8">
        <v>150.0</v>
      </c>
      <c r="H18" s="8">
        <v>800.0</v>
      </c>
      <c r="I18" s="9">
        <f t="shared" si="1"/>
        <v>950</v>
      </c>
      <c r="J18" s="7">
        <v>60.0</v>
      </c>
      <c r="K18" s="7">
        <v>30.0</v>
      </c>
      <c r="L18" s="7">
        <v>1.0</v>
      </c>
      <c r="M18" s="7" t="s">
        <v>30</v>
      </c>
      <c r="N18" s="7" t="s">
        <v>31</v>
      </c>
      <c r="O18" s="7" t="s">
        <v>30</v>
      </c>
      <c r="P18" s="5"/>
      <c r="Q18" s="5"/>
    </row>
    <row r="19">
      <c r="A19" s="6" t="s">
        <v>169</v>
      </c>
      <c r="B19" s="6" t="s">
        <v>170</v>
      </c>
      <c r="C19" s="6" t="s">
        <v>26</v>
      </c>
      <c r="D19" s="6"/>
      <c r="E19" s="6"/>
      <c r="F19" s="7">
        <v>0.03</v>
      </c>
      <c r="G19" s="8">
        <v>150.0</v>
      </c>
      <c r="H19" s="8">
        <v>1600.0</v>
      </c>
      <c r="I19" s="9">
        <f t="shared" si="1"/>
        <v>1750</v>
      </c>
      <c r="J19" s="7">
        <v>120.0</v>
      </c>
      <c r="K19" s="7">
        <v>30.0</v>
      </c>
      <c r="L19" s="7">
        <v>1.0</v>
      </c>
      <c r="M19" s="7" t="s">
        <v>30</v>
      </c>
      <c r="N19" s="7" t="s">
        <v>31</v>
      </c>
      <c r="O19" s="7" t="s">
        <v>30</v>
      </c>
      <c r="P19" s="5"/>
      <c r="Q19" s="5"/>
    </row>
    <row r="20">
      <c r="A20" s="6" t="s">
        <v>175</v>
      </c>
      <c r="B20" s="6" t="s">
        <v>176</v>
      </c>
      <c r="C20" s="6" t="s">
        <v>26</v>
      </c>
      <c r="D20" s="6"/>
      <c r="E20" s="6"/>
      <c r="F20" s="7">
        <v>0.03</v>
      </c>
      <c r="G20" s="8">
        <v>150.0</v>
      </c>
      <c r="H20" s="8">
        <v>1600.0</v>
      </c>
      <c r="I20" s="9">
        <f t="shared" si="1"/>
        <v>1750</v>
      </c>
      <c r="J20" s="7">
        <v>120.0</v>
      </c>
      <c r="K20" s="7">
        <v>30.0</v>
      </c>
      <c r="L20" s="7">
        <v>1.0</v>
      </c>
      <c r="M20" s="7" t="s">
        <v>30</v>
      </c>
      <c r="N20" s="7" t="s">
        <v>31</v>
      </c>
      <c r="O20" s="7" t="s">
        <v>30</v>
      </c>
      <c r="P20" s="5"/>
      <c r="Q20" s="5"/>
    </row>
    <row r="21" ht="15.75" customHeight="1">
      <c r="A21" s="6" t="s">
        <v>181</v>
      </c>
      <c r="B21" s="6" t="s">
        <v>182</v>
      </c>
      <c r="C21" s="6" t="s">
        <v>26</v>
      </c>
      <c r="D21" s="6"/>
      <c r="E21" s="6"/>
      <c r="F21" s="7">
        <v>0.03</v>
      </c>
      <c r="G21" s="8">
        <v>150.0</v>
      </c>
      <c r="H21" s="8">
        <v>1600.0</v>
      </c>
      <c r="I21" s="9">
        <f t="shared" si="1"/>
        <v>1750</v>
      </c>
      <c r="J21" s="7">
        <v>120.0</v>
      </c>
      <c r="K21" s="7">
        <v>30.0</v>
      </c>
      <c r="L21" s="7">
        <v>1.0</v>
      </c>
      <c r="M21" s="7" t="s">
        <v>30</v>
      </c>
      <c r="N21" s="7" t="s">
        <v>31</v>
      </c>
      <c r="O21" s="7" t="s">
        <v>30</v>
      </c>
      <c r="P21" s="5"/>
      <c r="Q21" s="5"/>
    </row>
    <row r="22" ht="15.75" customHeight="1">
      <c r="A22" s="6" t="s">
        <v>187</v>
      </c>
      <c r="B22" s="6" t="s">
        <v>188</v>
      </c>
      <c r="C22" s="6" t="s">
        <v>26</v>
      </c>
      <c r="D22" s="6"/>
      <c r="E22" s="6"/>
      <c r="F22" s="7">
        <v>0.03</v>
      </c>
      <c r="G22" s="8">
        <v>150.0</v>
      </c>
      <c r="H22" s="8">
        <v>1600.0</v>
      </c>
      <c r="I22" s="9">
        <f t="shared" si="1"/>
        <v>1750</v>
      </c>
      <c r="J22" s="7">
        <v>120.0</v>
      </c>
      <c r="K22" s="7">
        <v>30.0</v>
      </c>
      <c r="L22" s="7">
        <v>1.0</v>
      </c>
      <c r="M22" s="7" t="s">
        <v>30</v>
      </c>
      <c r="N22" s="7" t="s">
        <v>31</v>
      </c>
      <c r="O22" s="7" t="s">
        <v>30</v>
      </c>
      <c r="P22" s="5"/>
      <c r="Q22" s="5"/>
    </row>
    <row r="23" ht="15.75" customHeight="1">
      <c r="A23" s="6" t="s">
        <v>194</v>
      </c>
      <c r="B23" s="6" t="s">
        <v>196</v>
      </c>
      <c r="C23" s="6" t="s">
        <v>26</v>
      </c>
      <c r="D23" s="6"/>
      <c r="E23" s="6"/>
      <c r="F23" s="7">
        <v>0.03</v>
      </c>
      <c r="G23" s="8">
        <v>150.0</v>
      </c>
      <c r="H23" s="8">
        <v>1600.0</v>
      </c>
      <c r="I23" s="9">
        <f t="shared" si="1"/>
        <v>1750</v>
      </c>
      <c r="J23" s="7">
        <v>120.0</v>
      </c>
      <c r="K23" s="7">
        <v>30.0</v>
      </c>
      <c r="L23" s="7">
        <v>1.0</v>
      </c>
      <c r="M23" s="7" t="s">
        <v>30</v>
      </c>
      <c r="N23" s="7" t="s">
        <v>31</v>
      </c>
      <c r="O23" s="7" t="s">
        <v>30</v>
      </c>
      <c r="P23" s="5"/>
      <c r="Q23" s="5"/>
    </row>
    <row r="24" ht="15.75" customHeight="1">
      <c r="A24" s="6" t="s">
        <v>200</v>
      </c>
      <c r="B24" s="6" t="s">
        <v>201</v>
      </c>
      <c r="C24" s="6" t="s">
        <v>26</v>
      </c>
      <c r="D24" s="6"/>
      <c r="E24" s="6"/>
      <c r="F24" s="7">
        <v>0.03</v>
      </c>
      <c r="G24" s="8">
        <v>150.0</v>
      </c>
      <c r="H24" s="8">
        <v>1600.0</v>
      </c>
      <c r="I24" s="9">
        <f t="shared" si="1"/>
        <v>1750</v>
      </c>
      <c r="J24" s="7">
        <v>120.0</v>
      </c>
      <c r="K24" s="7">
        <v>30.0</v>
      </c>
      <c r="L24" s="7">
        <v>1.0</v>
      </c>
      <c r="M24" s="7" t="s">
        <v>30</v>
      </c>
      <c r="N24" s="7" t="s">
        <v>31</v>
      </c>
      <c r="O24" s="7" t="s">
        <v>30</v>
      </c>
      <c r="P24" s="5"/>
      <c r="Q24" s="5"/>
    </row>
    <row r="25" ht="15.75" customHeight="1">
      <c r="A25" s="6" t="s">
        <v>204</v>
      </c>
      <c r="B25" s="6" t="s">
        <v>205</v>
      </c>
      <c r="C25" s="6" t="s">
        <v>26</v>
      </c>
      <c r="D25" s="6"/>
      <c r="E25" s="6"/>
      <c r="F25" s="7">
        <v>0.03</v>
      </c>
      <c r="G25" s="8">
        <v>150.0</v>
      </c>
      <c r="H25" s="8">
        <v>1600.0</v>
      </c>
      <c r="I25" s="9">
        <f t="shared" si="1"/>
        <v>1750</v>
      </c>
      <c r="J25" s="7">
        <v>120.0</v>
      </c>
      <c r="K25" s="7">
        <v>30.0</v>
      </c>
      <c r="L25" s="7">
        <v>1.0</v>
      </c>
      <c r="M25" s="7" t="s">
        <v>30</v>
      </c>
      <c r="N25" s="7" t="s">
        <v>31</v>
      </c>
      <c r="O25" s="7" t="s">
        <v>30</v>
      </c>
      <c r="P25" s="5"/>
      <c r="Q25" s="5"/>
    </row>
    <row r="26" ht="15.75" customHeight="1">
      <c r="A26" s="6" t="s">
        <v>209</v>
      </c>
      <c r="B26" s="6" t="s">
        <v>210</v>
      </c>
      <c r="C26" s="6" t="s">
        <v>26</v>
      </c>
      <c r="D26" s="6"/>
      <c r="E26" s="6"/>
      <c r="F26" s="7">
        <v>0.03</v>
      </c>
      <c r="G26" s="8">
        <v>150.0</v>
      </c>
      <c r="H26" s="8">
        <v>1600.0</v>
      </c>
      <c r="I26" s="9">
        <f t="shared" si="1"/>
        <v>1750</v>
      </c>
      <c r="J26" s="7">
        <v>120.0</v>
      </c>
      <c r="K26" s="7">
        <v>30.0</v>
      </c>
      <c r="L26" s="7">
        <v>1.0</v>
      </c>
      <c r="M26" s="7" t="s">
        <v>30</v>
      </c>
      <c r="N26" s="7" t="s">
        <v>31</v>
      </c>
      <c r="O26" s="7" t="s">
        <v>30</v>
      </c>
      <c r="P26" s="5"/>
      <c r="Q26" s="5"/>
    </row>
    <row r="27" ht="15.75" customHeight="1">
      <c r="A27" s="6" t="s">
        <v>213</v>
      </c>
      <c r="B27" s="6" t="s">
        <v>214</v>
      </c>
      <c r="C27" s="6" t="s">
        <v>26</v>
      </c>
      <c r="D27" s="6"/>
      <c r="E27" s="6"/>
      <c r="F27" s="7">
        <v>0.03</v>
      </c>
      <c r="G27" s="8">
        <v>150.0</v>
      </c>
      <c r="H27" s="8">
        <v>1600.0</v>
      </c>
      <c r="I27" s="9">
        <f t="shared" si="1"/>
        <v>1750</v>
      </c>
      <c r="J27" s="7">
        <v>120.0</v>
      </c>
      <c r="K27" s="7">
        <v>30.0</v>
      </c>
      <c r="L27" s="7">
        <v>1.0</v>
      </c>
      <c r="M27" s="7" t="s">
        <v>30</v>
      </c>
      <c r="N27" s="7" t="s">
        <v>31</v>
      </c>
      <c r="O27" s="7" t="s">
        <v>30</v>
      </c>
      <c r="P27" s="5"/>
      <c r="Q27" s="5"/>
    </row>
    <row r="28" ht="15.75" customHeight="1">
      <c r="A28" s="6" t="s">
        <v>215</v>
      </c>
      <c r="B28" s="6" t="s">
        <v>216</v>
      </c>
      <c r="C28" s="6" t="s">
        <v>26</v>
      </c>
      <c r="D28" s="6"/>
      <c r="E28" s="6"/>
      <c r="F28" s="7">
        <v>0.03</v>
      </c>
      <c r="G28" s="8">
        <v>150.0</v>
      </c>
      <c r="H28" s="8">
        <v>1600.0</v>
      </c>
      <c r="I28" s="9">
        <f t="shared" si="1"/>
        <v>1750</v>
      </c>
      <c r="J28" s="7">
        <v>120.0</v>
      </c>
      <c r="K28" s="7">
        <v>30.0</v>
      </c>
      <c r="L28" s="7">
        <v>1.0</v>
      </c>
      <c r="M28" s="7" t="s">
        <v>30</v>
      </c>
      <c r="N28" s="7" t="s">
        <v>31</v>
      </c>
      <c r="O28" s="7" t="s">
        <v>30</v>
      </c>
      <c r="P28" s="5"/>
      <c r="Q28" s="5"/>
    </row>
    <row r="29" ht="15.75" customHeight="1">
      <c r="A29" s="6" t="s">
        <v>219</v>
      </c>
      <c r="B29" s="6" t="s">
        <v>220</v>
      </c>
      <c r="C29" s="6" t="s">
        <v>26</v>
      </c>
      <c r="D29" s="6"/>
      <c r="E29" s="6"/>
      <c r="F29" s="7">
        <v>0.03</v>
      </c>
      <c r="G29" s="8">
        <v>150.0</v>
      </c>
      <c r="H29" s="8">
        <v>1600.0</v>
      </c>
      <c r="I29" s="9">
        <f t="shared" si="1"/>
        <v>1750</v>
      </c>
      <c r="J29" s="7">
        <v>120.0</v>
      </c>
      <c r="K29" s="7">
        <v>30.0</v>
      </c>
      <c r="L29" s="7">
        <v>1.0</v>
      </c>
      <c r="M29" s="7" t="s">
        <v>30</v>
      </c>
      <c r="N29" s="7" t="s">
        <v>31</v>
      </c>
      <c r="O29" s="7" t="s">
        <v>30</v>
      </c>
      <c r="P29" s="5"/>
      <c r="Q29" s="5"/>
    </row>
    <row r="30" ht="15.75" customHeight="1">
      <c r="A30" s="6" t="s">
        <v>221</v>
      </c>
      <c r="B30" s="6" t="s">
        <v>222</v>
      </c>
      <c r="C30" s="6" t="s">
        <v>26</v>
      </c>
      <c r="D30" s="6"/>
      <c r="E30" s="6"/>
      <c r="F30" s="7">
        <v>0.03</v>
      </c>
      <c r="G30" s="8">
        <v>150.0</v>
      </c>
      <c r="H30" s="8">
        <v>1600.0</v>
      </c>
      <c r="I30" s="9">
        <f t="shared" si="1"/>
        <v>1750</v>
      </c>
      <c r="J30" s="7">
        <v>120.0</v>
      </c>
      <c r="K30" s="7">
        <v>30.0</v>
      </c>
      <c r="L30" s="7">
        <v>1.0</v>
      </c>
      <c r="M30" s="7" t="s">
        <v>30</v>
      </c>
      <c r="N30" s="7" t="s">
        <v>31</v>
      </c>
      <c r="O30" s="7" t="s">
        <v>30</v>
      </c>
      <c r="P30" s="5"/>
      <c r="Q30" s="5"/>
    </row>
    <row r="31" ht="15.75" customHeight="1">
      <c r="A31" s="6" t="s">
        <v>224</v>
      </c>
      <c r="B31" s="6" t="s">
        <v>225</v>
      </c>
      <c r="C31" s="6" t="s">
        <v>26</v>
      </c>
      <c r="D31" s="6"/>
      <c r="E31" s="6"/>
      <c r="F31" s="7">
        <v>0.03</v>
      </c>
      <c r="G31" s="8">
        <v>150.0</v>
      </c>
      <c r="H31" s="8">
        <v>1600.0</v>
      </c>
      <c r="I31" s="9">
        <f t="shared" si="1"/>
        <v>1750</v>
      </c>
      <c r="J31" s="7">
        <v>120.0</v>
      </c>
      <c r="K31" s="7">
        <v>30.0</v>
      </c>
      <c r="L31" s="7">
        <v>1.0</v>
      </c>
      <c r="M31" s="7" t="s">
        <v>30</v>
      </c>
      <c r="N31" s="7" t="s">
        <v>31</v>
      </c>
      <c r="O31" s="7" t="s">
        <v>30</v>
      </c>
      <c r="P31" s="5"/>
      <c r="Q31" s="5"/>
    </row>
    <row r="32" ht="15.75" customHeight="1">
      <c r="A32" s="6" t="s">
        <v>228</v>
      </c>
      <c r="B32" s="6" t="s">
        <v>229</v>
      </c>
      <c r="C32" s="6" t="s">
        <v>26</v>
      </c>
      <c r="D32" s="6"/>
      <c r="E32" s="6"/>
      <c r="F32" s="7">
        <v>0.03</v>
      </c>
      <c r="G32" s="8">
        <v>150.0</v>
      </c>
      <c r="H32" s="8">
        <v>1600.0</v>
      </c>
      <c r="I32" s="9">
        <f t="shared" si="1"/>
        <v>1750</v>
      </c>
      <c r="J32" s="7">
        <v>120.0</v>
      </c>
      <c r="K32" s="7">
        <v>30.0</v>
      </c>
      <c r="L32" s="7">
        <v>1.0</v>
      </c>
      <c r="M32" s="7" t="s">
        <v>30</v>
      </c>
      <c r="N32" s="7" t="s">
        <v>31</v>
      </c>
      <c r="O32" s="7" t="s">
        <v>30</v>
      </c>
      <c r="P32" s="5"/>
      <c r="Q32" s="5"/>
    </row>
    <row r="33" ht="15.75" customHeight="1">
      <c r="A33" s="6" t="s">
        <v>230</v>
      </c>
      <c r="B33" s="6" t="s">
        <v>231</v>
      </c>
      <c r="C33" s="6" t="s">
        <v>26</v>
      </c>
      <c r="D33" s="6"/>
      <c r="E33" s="6"/>
      <c r="F33" s="7">
        <v>0.03</v>
      </c>
      <c r="G33" s="8">
        <v>150.0</v>
      </c>
      <c r="H33" s="8">
        <v>1600.0</v>
      </c>
      <c r="I33" s="9">
        <f t="shared" si="1"/>
        <v>1750</v>
      </c>
      <c r="J33" s="7">
        <v>120.0</v>
      </c>
      <c r="K33" s="7">
        <v>30.0</v>
      </c>
      <c r="L33" s="7">
        <v>1.0</v>
      </c>
      <c r="M33" s="7" t="s">
        <v>30</v>
      </c>
      <c r="N33" s="7" t="s">
        <v>31</v>
      </c>
      <c r="O33" s="7" t="s">
        <v>30</v>
      </c>
      <c r="P33" s="5"/>
      <c r="Q33" s="5"/>
    </row>
    <row r="34" ht="15.75" customHeight="1">
      <c r="A34" s="6" t="s">
        <v>233</v>
      </c>
      <c r="B34" s="6" t="s">
        <v>234</v>
      </c>
      <c r="C34" s="6" t="s">
        <v>26</v>
      </c>
      <c r="D34" s="6"/>
      <c r="E34" s="6"/>
      <c r="F34" s="7">
        <v>0.03</v>
      </c>
      <c r="G34" s="8">
        <v>150.0</v>
      </c>
      <c r="H34" s="8">
        <v>1600.0</v>
      </c>
      <c r="I34" s="9">
        <f t="shared" si="1"/>
        <v>1750</v>
      </c>
      <c r="J34" s="7">
        <v>120.0</v>
      </c>
      <c r="K34" s="7">
        <v>30.0</v>
      </c>
      <c r="L34" s="7">
        <v>1.0</v>
      </c>
      <c r="M34" s="7" t="s">
        <v>30</v>
      </c>
      <c r="N34" s="7" t="s">
        <v>31</v>
      </c>
      <c r="O34" s="7" t="s">
        <v>30</v>
      </c>
      <c r="P34" s="5"/>
      <c r="Q34" s="5"/>
    </row>
    <row r="35" ht="15.75" customHeight="1">
      <c r="A35" s="6" t="s">
        <v>235</v>
      </c>
      <c r="B35" s="6" t="s">
        <v>236</v>
      </c>
      <c r="C35" s="6" t="s">
        <v>26</v>
      </c>
      <c r="D35" s="6"/>
      <c r="E35" s="6"/>
      <c r="F35" s="7">
        <v>0.03</v>
      </c>
      <c r="G35" s="8">
        <v>150.0</v>
      </c>
      <c r="H35" s="8">
        <v>1600.0</v>
      </c>
      <c r="I35" s="9">
        <f t="shared" si="1"/>
        <v>1750</v>
      </c>
      <c r="J35" s="7">
        <v>120.0</v>
      </c>
      <c r="K35" s="7">
        <v>30.0</v>
      </c>
      <c r="L35" s="7">
        <v>1.0</v>
      </c>
      <c r="M35" s="7" t="s">
        <v>30</v>
      </c>
      <c r="N35" s="7" t="s">
        <v>31</v>
      </c>
      <c r="O35" s="7" t="s">
        <v>30</v>
      </c>
      <c r="P35" s="5"/>
      <c r="Q35" s="5"/>
    </row>
    <row r="36" ht="15.75" customHeight="1">
      <c r="A36" s="6" t="s">
        <v>237</v>
      </c>
      <c r="B36" s="6" t="s">
        <v>238</v>
      </c>
      <c r="C36" s="6" t="s">
        <v>26</v>
      </c>
      <c r="D36" s="6"/>
      <c r="E36" s="6"/>
      <c r="F36" s="7">
        <v>0.03</v>
      </c>
      <c r="G36" s="8">
        <v>150.0</v>
      </c>
      <c r="H36" s="8">
        <v>1600.0</v>
      </c>
      <c r="I36" s="9">
        <f t="shared" si="1"/>
        <v>1750</v>
      </c>
      <c r="J36" s="7">
        <v>120.0</v>
      </c>
      <c r="K36" s="7">
        <v>30.0</v>
      </c>
      <c r="L36" s="7">
        <v>1.0</v>
      </c>
      <c r="M36" s="7" t="s">
        <v>30</v>
      </c>
      <c r="N36" s="7" t="s">
        <v>31</v>
      </c>
      <c r="O36" s="7" t="s">
        <v>30</v>
      </c>
      <c r="P36" s="5"/>
      <c r="Q36" s="5"/>
    </row>
    <row r="37" ht="15.75" customHeight="1">
      <c r="A37" s="6" t="s">
        <v>239</v>
      </c>
      <c r="B37" s="6" t="s">
        <v>240</v>
      </c>
      <c r="C37" s="6" t="s">
        <v>26</v>
      </c>
      <c r="D37" s="6"/>
      <c r="E37" s="6"/>
      <c r="F37" s="7">
        <v>0.03</v>
      </c>
      <c r="G37" s="8">
        <v>150.0</v>
      </c>
      <c r="H37" s="8">
        <v>1600.0</v>
      </c>
      <c r="I37" s="9">
        <f t="shared" si="1"/>
        <v>1750</v>
      </c>
      <c r="J37" s="7">
        <v>120.0</v>
      </c>
      <c r="K37" s="7">
        <v>30.0</v>
      </c>
      <c r="L37" s="7">
        <v>1.0</v>
      </c>
      <c r="M37" s="7" t="s">
        <v>30</v>
      </c>
      <c r="N37" s="7" t="s">
        <v>31</v>
      </c>
      <c r="O37" s="7" t="s">
        <v>30</v>
      </c>
      <c r="P37" s="5"/>
      <c r="Q37" s="5"/>
    </row>
    <row r="38" ht="15.75" customHeight="1">
      <c r="A38" s="6" t="s">
        <v>241</v>
      </c>
      <c r="B38" s="6" t="s">
        <v>242</v>
      </c>
      <c r="C38" s="6" t="s">
        <v>26</v>
      </c>
      <c r="D38" s="6"/>
      <c r="E38" s="6"/>
      <c r="F38" s="7">
        <v>0.03</v>
      </c>
      <c r="G38" s="8">
        <v>150.0</v>
      </c>
      <c r="H38" s="8">
        <v>1600.0</v>
      </c>
      <c r="I38" s="9">
        <f t="shared" si="1"/>
        <v>1750</v>
      </c>
      <c r="J38" s="7">
        <v>120.0</v>
      </c>
      <c r="K38" s="7">
        <v>30.0</v>
      </c>
      <c r="L38" s="7">
        <v>1.0</v>
      </c>
      <c r="M38" s="7" t="s">
        <v>30</v>
      </c>
      <c r="N38" s="7" t="s">
        <v>31</v>
      </c>
      <c r="O38" s="7" t="s">
        <v>30</v>
      </c>
      <c r="P38" s="5"/>
      <c r="Q38" s="5"/>
    </row>
    <row r="39" ht="15.75" customHeight="1">
      <c r="A39" s="6" t="s">
        <v>243</v>
      </c>
      <c r="B39" s="6" t="s">
        <v>244</v>
      </c>
      <c r="C39" s="6" t="s">
        <v>26</v>
      </c>
      <c r="D39" s="6"/>
      <c r="E39" s="6"/>
      <c r="F39" s="7">
        <v>0.03</v>
      </c>
      <c r="G39" s="8">
        <v>150.0</v>
      </c>
      <c r="H39" s="8">
        <v>1600.0</v>
      </c>
      <c r="I39" s="9">
        <f t="shared" si="1"/>
        <v>1750</v>
      </c>
      <c r="J39" s="7">
        <v>120.0</v>
      </c>
      <c r="K39" s="7">
        <v>30.0</v>
      </c>
      <c r="L39" s="7">
        <v>1.0</v>
      </c>
      <c r="M39" s="7" t="s">
        <v>30</v>
      </c>
      <c r="N39" s="7" t="s">
        <v>31</v>
      </c>
      <c r="O39" s="7" t="s">
        <v>30</v>
      </c>
      <c r="P39" s="5"/>
      <c r="Q39" s="5"/>
    </row>
    <row r="40" ht="15.75" customHeight="1">
      <c r="A40" s="6" t="s">
        <v>245</v>
      </c>
      <c r="B40" s="6" t="s">
        <v>246</v>
      </c>
      <c r="C40" s="6" t="s">
        <v>26</v>
      </c>
      <c r="D40" s="6"/>
      <c r="E40" s="6"/>
      <c r="F40" s="7">
        <v>0.03</v>
      </c>
      <c r="G40" s="8">
        <v>150.0</v>
      </c>
      <c r="H40" s="8">
        <v>1600.0</v>
      </c>
      <c r="I40" s="9">
        <f t="shared" si="1"/>
        <v>1750</v>
      </c>
      <c r="J40" s="7">
        <v>120.0</v>
      </c>
      <c r="K40" s="7">
        <v>30.0</v>
      </c>
      <c r="L40" s="7">
        <v>1.0</v>
      </c>
      <c r="M40" s="7" t="s">
        <v>30</v>
      </c>
      <c r="N40" s="7" t="s">
        <v>31</v>
      </c>
      <c r="O40" s="7" t="s">
        <v>30</v>
      </c>
      <c r="P40" s="5"/>
      <c r="Q40" s="5"/>
    </row>
    <row r="41" ht="15.75" customHeight="1">
      <c r="A41" s="6" t="s">
        <v>247</v>
      </c>
      <c r="B41" s="6" t="s">
        <v>248</v>
      </c>
      <c r="C41" s="6" t="s">
        <v>26</v>
      </c>
      <c r="D41" s="6"/>
      <c r="E41" s="6"/>
      <c r="F41" s="7">
        <v>0.03</v>
      </c>
      <c r="G41" s="8">
        <v>150.0</v>
      </c>
      <c r="H41" s="8">
        <v>1600.0</v>
      </c>
      <c r="I41" s="9">
        <f t="shared" si="1"/>
        <v>1750</v>
      </c>
      <c r="J41" s="7">
        <v>120.0</v>
      </c>
      <c r="K41" s="7">
        <v>30.0</v>
      </c>
      <c r="L41" s="7">
        <v>1.0</v>
      </c>
      <c r="M41" s="7" t="s">
        <v>30</v>
      </c>
      <c r="N41" s="7" t="s">
        <v>31</v>
      </c>
      <c r="O41" s="7" t="s">
        <v>30</v>
      </c>
      <c r="P41" s="5"/>
      <c r="Q41" s="5"/>
    </row>
    <row r="42" ht="15.75" customHeight="1">
      <c r="A42" s="6" t="s">
        <v>249</v>
      </c>
      <c r="B42" s="6" t="s">
        <v>250</v>
      </c>
      <c r="C42" s="6" t="s">
        <v>26</v>
      </c>
      <c r="D42" s="6"/>
      <c r="E42" s="6"/>
      <c r="F42" s="7">
        <v>0.03</v>
      </c>
      <c r="G42" s="8">
        <v>150.0</v>
      </c>
      <c r="H42" s="8">
        <v>1600.0</v>
      </c>
      <c r="I42" s="9">
        <f t="shared" si="1"/>
        <v>1750</v>
      </c>
      <c r="J42" s="7">
        <v>120.0</v>
      </c>
      <c r="K42" s="7">
        <v>30.0</v>
      </c>
      <c r="L42" s="7">
        <v>1.0</v>
      </c>
      <c r="M42" s="7" t="s">
        <v>30</v>
      </c>
      <c r="N42" s="7" t="s">
        <v>31</v>
      </c>
      <c r="O42" s="7" t="s">
        <v>30</v>
      </c>
      <c r="P42" s="5"/>
      <c r="Q42" s="5"/>
    </row>
    <row r="43" ht="15.75" customHeight="1">
      <c r="A43" s="6" t="s">
        <v>251</v>
      </c>
      <c r="B43" s="6" t="s">
        <v>252</v>
      </c>
      <c r="C43" s="6" t="s">
        <v>26</v>
      </c>
      <c r="D43" s="6"/>
      <c r="E43" s="6"/>
      <c r="F43" s="7">
        <v>0.03</v>
      </c>
      <c r="G43" s="8">
        <v>150.0</v>
      </c>
      <c r="H43" s="8">
        <v>1600.0</v>
      </c>
      <c r="I43" s="9">
        <f t="shared" si="1"/>
        <v>1750</v>
      </c>
      <c r="J43" s="7">
        <v>120.0</v>
      </c>
      <c r="K43" s="7">
        <v>30.0</v>
      </c>
      <c r="L43" s="7">
        <v>1.0</v>
      </c>
      <c r="M43" s="7" t="s">
        <v>30</v>
      </c>
      <c r="N43" s="7" t="s">
        <v>31</v>
      </c>
      <c r="O43" s="7" t="s">
        <v>30</v>
      </c>
      <c r="P43" s="5"/>
      <c r="Q43" s="5"/>
    </row>
    <row r="44" ht="15.75" customHeight="1">
      <c r="A44" s="6" t="s">
        <v>253</v>
      </c>
      <c r="B44" s="6" t="s">
        <v>254</v>
      </c>
      <c r="C44" s="6" t="s">
        <v>26</v>
      </c>
      <c r="D44" s="6"/>
      <c r="E44" s="6"/>
      <c r="F44" s="7">
        <v>0.03</v>
      </c>
      <c r="G44" s="8">
        <v>150.0</v>
      </c>
      <c r="H44" s="8">
        <v>1600.0</v>
      </c>
      <c r="I44" s="9">
        <f t="shared" si="1"/>
        <v>1750</v>
      </c>
      <c r="J44" s="7">
        <v>120.0</v>
      </c>
      <c r="K44" s="7">
        <v>30.0</v>
      </c>
      <c r="L44" s="7">
        <v>1.0</v>
      </c>
      <c r="M44" s="7" t="s">
        <v>30</v>
      </c>
      <c r="N44" s="7" t="s">
        <v>31</v>
      </c>
      <c r="O44" s="7" t="s">
        <v>30</v>
      </c>
      <c r="P44" s="5"/>
      <c r="Q44" s="5"/>
    </row>
    <row r="45" ht="15.75" customHeight="1">
      <c r="A45" s="6" t="s">
        <v>255</v>
      </c>
      <c r="B45" s="6" t="s">
        <v>256</v>
      </c>
      <c r="C45" s="6" t="s">
        <v>26</v>
      </c>
      <c r="D45" s="6"/>
      <c r="E45" s="6"/>
      <c r="F45" s="7">
        <v>0.03</v>
      </c>
      <c r="G45" s="8">
        <v>150.0</v>
      </c>
      <c r="H45" s="8">
        <v>1600.0</v>
      </c>
      <c r="I45" s="9">
        <f t="shared" si="1"/>
        <v>1750</v>
      </c>
      <c r="J45" s="7">
        <v>120.0</v>
      </c>
      <c r="K45" s="7">
        <v>30.0</v>
      </c>
      <c r="L45" s="7">
        <v>1.0</v>
      </c>
      <c r="M45" s="7" t="s">
        <v>30</v>
      </c>
      <c r="N45" s="7" t="s">
        <v>31</v>
      </c>
      <c r="O45" s="7" t="s">
        <v>30</v>
      </c>
      <c r="P45" s="5"/>
      <c r="Q45" s="5"/>
    </row>
    <row r="46" ht="15.75" customHeight="1">
      <c r="A46" s="6" t="s">
        <v>257</v>
      </c>
      <c r="B46" s="6" t="s">
        <v>258</v>
      </c>
      <c r="C46" s="6" t="s">
        <v>26</v>
      </c>
      <c r="D46" s="6"/>
      <c r="E46" s="6"/>
      <c r="F46" s="7">
        <v>0.03</v>
      </c>
      <c r="G46" s="8">
        <v>150.0</v>
      </c>
      <c r="H46" s="8">
        <v>1600.0</v>
      </c>
      <c r="I46" s="9">
        <f t="shared" si="1"/>
        <v>1750</v>
      </c>
      <c r="J46" s="7">
        <v>120.0</v>
      </c>
      <c r="K46" s="7">
        <v>30.0</v>
      </c>
      <c r="L46" s="7">
        <v>1.0</v>
      </c>
      <c r="M46" s="7" t="s">
        <v>30</v>
      </c>
      <c r="N46" s="7" t="s">
        <v>31</v>
      </c>
      <c r="O46" s="7" t="s">
        <v>30</v>
      </c>
      <c r="P46" s="5"/>
      <c r="Q46" s="5"/>
    </row>
    <row r="47" ht="15.75" customHeight="1">
      <c r="A47" s="6" t="s">
        <v>259</v>
      </c>
      <c r="B47" s="6" t="s">
        <v>260</v>
      </c>
      <c r="C47" s="6" t="s">
        <v>26</v>
      </c>
      <c r="D47" s="6"/>
      <c r="E47" s="6"/>
      <c r="F47" s="7">
        <v>0.03</v>
      </c>
      <c r="G47" s="8">
        <v>150.0</v>
      </c>
      <c r="H47" s="8">
        <v>3200.0</v>
      </c>
      <c r="I47" s="9">
        <f t="shared" si="1"/>
        <v>3350</v>
      </c>
      <c r="J47" s="7">
        <v>120.0</v>
      </c>
      <c r="K47" s="7">
        <v>60.0</v>
      </c>
      <c r="L47" s="7">
        <v>1.0</v>
      </c>
      <c r="M47" s="7" t="s">
        <v>30</v>
      </c>
      <c r="N47" s="7" t="s">
        <v>31</v>
      </c>
      <c r="O47" s="7" t="s">
        <v>30</v>
      </c>
      <c r="P47" s="5"/>
      <c r="Q47" s="5"/>
    </row>
    <row r="48" ht="15.75" customHeight="1">
      <c r="A48" s="6" t="s">
        <v>261</v>
      </c>
      <c r="B48" s="6" t="s">
        <v>262</v>
      </c>
      <c r="C48" s="6" t="s">
        <v>26</v>
      </c>
      <c r="D48" s="6"/>
      <c r="E48" s="6"/>
      <c r="F48" s="7">
        <v>0.03</v>
      </c>
      <c r="G48" s="8">
        <v>150.0</v>
      </c>
      <c r="H48" s="8">
        <v>3200.0</v>
      </c>
      <c r="I48" s="9">
        <f t="shared" si="1"/>
        <v>3350</v>
      </c>
      <c r="J48" s="7">
        <v>120.0</v>
      </c>
      <c r="K48" s="7">
        <v>60.0</v>
      </c>
      <c r="L48" s="7">
        <v>1.0</v>
      </c>
      <c r="M48" s="7" t="s">
        <v>30</v>
      </c>
      <c r="N48" s="7" t="s">
        <v>31</v>
      </c>
      <c r="O48" s="7" t="s">
        <v>30</v>
      </c>
      <c r="P48" s="5"/>
      <c r="Q48" s="5"/>
    </row>
    <row r="49" ht="15.75" customHeight="1">
      <c r="A49" s="6" t="s">
        <v>263</v>
      </c>
      <c r="B49" s="6" t="s">
        <v>264</v>
      </c>
      <c r="C49" s="6" t="s">
        <v>26</v>
      </c>
      <c r="D49" s="6"/>
      <c r="E49" s="6"/>
      <c r="F49" s="7">
        <v>0.03</v>
      </c>
      <c r="G49" s="8">
        <v>150.0</v>
      </c>
      <c r="H49" s="8">
        <v>3200.0</v>
      </c>
      <c r="I49" s="9">
        <f t="shared" si="1"/>
        <v>3350</v>
      </c>
      <c r="J49" s="7">
        <v>120.0</v>
      </c>
      <c r="K49" s="7">
        <v>60.0</v>
      </c>
      <c r="L49" s="7">
        <v>1.0</v>
      </c>
      <c r="M49" s="7" t="s">
        <v>30</v>
      </c>
      <c r="N49" s="7" t="s">
        <v>31</v>
      </c>
      <c r="O49" s="7" t="s">
        <v>30</v>
      </c>
      <c r="P49" s="5"/>
      <c r="Q49" s="5"/>
    </row>
    <row r="50" ht="15.75" customHeight="1">
      <c r="A50" s="6" t="s">
        <v>265</v>
      </c>
      <c r="B50" s="6" t="s">
        <v>266</v>
      </c>
      <c r="C50" s="6" t="s">
        <v>26</v>
      </c>
      <c r="D50" s="6"/>
      <c r="E50" s="6"/>
      <c r="F50" s="7">
        <v>0.03</v>
      </c>
      <c r="G50" s="8">
        <v>150.0</v>
      </c>
      <c r="H50" s="8">
        <v>3200.0</v>
      </c>
      <c r="I50" s="9">
        <f t="shared" si="1"/>
        <v>3350</v>
      </c>
      <c r="J50" s="7">
        <v>120.0</v>
      </c>
      <c r="K50" s="7">
        <v>60.0</v>
      </c>
      <c r="L50" s="7">
        <v>1.0</v>
      </c>
      <c r="M50" s="7" t="s">
        <v>30</v>
      </c>
      <c r="N50" s="7" t="s">
        <v>31</v>
      </c>
      <c r="O50" s="7" t="s">
        <v>30</v>
      </c>
      <c r="P50" s="5"/>
      <c r="Q50" s="5"/>
    </row>
    <row r="51" ht="15.75" customHeight="1">
      <c r="A51" s="6" t="s">
        <v>267</v>
      </c>
      <c r="B51" s="6" t="s">
        <v>268</v>
      </c>
      <c r="C51" s="6" t="s">
        <v>26</v>
      </c>
      <c r="D51" s="6"/>
      <c r="E51" s="6"/>
      <c r="F51" s="7">
        <v>0.03</v>
      </c>
      <c r="G51" s="8">
        <v>150.0</v>
      </c>
      <c r="H51" s="8">
        <v>3200.0</v>
      </c>
      <c r="I51" s="9">
        <f t="shared" si="1"/>
        <v>3350</v>
      </c>
      <c r="J51" s="7">
        <v>120.0</v>
      </c>
      <c r="K51" s="7">
        <v>60.0</v>
      </c>
      <c r="L51" s="7">
        <v>1.0</v>
      </c>
      <c r="M51" s="7" t="s">
        <v>30</v>
      </c>
      <c r="N51" s="7" t="s">
        <v>31</v>
      </c>
      <c r="O51" s="7" t="s">
        <v>30</v>
      </c>
      <c r="P51" s="5"/>
      <c r="Q51" s="5"/>
    </row>
    <row r="52" ht="15.75" customHeight="1">
      <c r="A52" s="6" t="s">
        <v>269</v>
      </c>
      <c r="B52" s="6" t="s">
        <v>270</v>
      </c>
      <c r="C52" s="6" t="s">
        <v>26</v>
      </c>
      <c r="D52" s="6"/>
      <c r="E52" s="6"/>
      <c r="F52" s="7">
        <v>0.03</v>
      </c>
      <c r="G52" s="8">
        <v>150.0</v>
      </c>
      <c r="H52" s="8">
        <v>3200.0</v>
      </c>
      <c r="I52" s="9">
        <f t="shared" si="1"/>
        <v>3350</v>
      </c>
      <c r="J52" s="7">
        <v>120.0</v>
      </c>
      <c r="K52" s="7">
        <v>60.0</v>
      </c>
      <c r="L52" s="7">
        <v>1.0</v>
      </c>
      <c r="M52" s="7" t="s">
        <v>30</v>
      </c>
      <c r="N52" s="7" t="s">
        <v>31</v>
      </c>
      <c r="O52" s="7" t="s">
        <v>30</v>
      </c>
      <c r="P52" s="5"/>
      <c r="Q52" s="5"/>
    </row>
    <row r="53" ht="15.75" customHeight="1">
      <c r="A53" s="6" t="s">
        <v>271</v>
      </c>
      <c r="B53" s="6" t="s">
        <v>272</v>
      </c>
      <c r="C53" s="6" t="s">
        <v>26</v>
      </c>
      <c r="D53" s="6"/>
      <c r="E53" s="6"/>
      <c r="F53" s="7">
        <v>0.03</v>
      </c>
      <c r="G53" s="8">
        <v>150.0</v>
      </c>
      <c r="H53" s="8">
        <v>3200.0</v>
      </c>
      <c r="I53" s="9">
        <f t="shared" si="1"/>
        <v>3350</v>
      </c>
      <c r="J53" s="7">
        <v>120.0</v>
      </c>
      <c r="K53" s="7">
        <v>60.0</v>
      </c>
      <c r="L53" s="7">
        <v>1.0</v>
      </c>
      <c r="M53" s="7" t="s">
        <v>30</v>
      </c>
      <c r="N53" s="7" t="s">
        <v>31</v>
      </c>
      <c r="O53" s="7" t="s">
        <v>30</v>
      </c>
      <c r="P53" s="5"/>
      <c r="Q53" s="5"/>
    </row>
    <row r="54" ht="15.75" customHeight="1">
      <c r="A54" s="6" t="s">
        <v>273</v>
      </c>
      <c r="B54" s="6" t="s">
        <v>274</v>
      </c>
      <c r="C54" s="6" t="s">
        <v>26</v>
      </c>
      <c r="D54" s="6"/>
      <c r="E54" s="6"/>
      <c r="F54" s="7">
        <v>0.03</v>
      </c>
      <c r="G54" s="8">
        <v>150.0</v>
      </c>
      <c r="H54" s="8">
        <v>3200.0</v>
      </c>
      <c r="I54" s="9">
        <f t="shared" si="1"/>
        <v>3350</v>
      </c>
      <c r="J54" s="7">
        <v>120.0</v>
      </c>
      <c r="K54" s="7">
        <v>60.0</v>
      </c>
      <c r="L54" s="7">
        <v>1.0</v>
      </c>
      <c r="M54" s="7" t="s">
        <v>30</v>
      </c>
      <c r="N54" s="7" t="s">
        <v>31</v>
      </c>
      <c r="O54" s="7" t="s">
        <v>30</v>
      </c>
      <c r="P54" s="5"/>
      <c r="Q54" s="5"/>
    </row>
    <row r="55" ht="15.75" customHeight="1">
      <c r="A55" s="6" t="s">
        <v>275</v>
      </c>
      <c r="B55" s="6" t="s">
        <v>276</v>
      </c>
      <c r="C55" s="6" t="s">
        <v>26</v>
      </c>
      <c r="D55" s="6"/>
      <c r="E55" s="6"/>
      <c r="F55" s="7">
        <v>0.03</v>
      </c>
      <c r="G55" s="8">
        <v>150.0</v>
      </c>
      <c r="H55" s="8">
        <v>3200.0</v>
      </c>
      <c r="I55" s="9">
        <f t="shared" si="1"/>
        <v>3350</v>
      </c>
      <c r="J55" s="7">
        <v>120.0</v>
      </c>
      <c r="K55" s="7">
        <v>60.0</v>
      </c>
      <c r="L55" s="7">
        <v>1.0</v>
      </c>
      <c r="M55" s="7" t="s">
        <v>30</v>
      </c>
      <c r="N55" s="7" t="s">
        <v>31</v>
      </c>
      <c r="O55" s="7" t="s">
        <v>30</v>
      </c>
      <c r="P55" s="5"/>
      <c r="Q55" s="5"/>
    </row>
    <row r="56" ht="15.75" customHeight="1">
      <c r="A56" s="6" t="s">
        <v>277</v>
      </c>
      <c r="B56" s="6" t="s">
        <v>278</v>
      </c>
      <c r="C56" s="6" t="s">
        <v>26</v>
      </c>
      <c r="D56" s="6"/>
      <c r="E56" s="6"/>
      <c r="F56" s="7">
        <v>0.03</v>
      </c>
      <c r="G56" s="8">
        <v>150.0</v>
      </c>
      <c r="H56" s="8">
        <v>3200.0</v>
      </c>
      <c r="I56" s="9">
        <f t="shared" si="1"/>
        <v>3350</v>
      </c>
      <c r="J56" s="7">
        <v>120.0</v>
      </c>
      <c r="K56" s="7">
        <v>60.0</v>
      </c>
      <c r="L56" s="7">
        <v>1.0</v>
      </c>
      <c r="M56" s="7" t="s">
        <v>30</v>
      </c>
      <c r="N56" s="7" t="s">
        <v>31</v>
      </c>
      <c r="O56" s="7" t="s">
        <v>30</v>
      </c>
      <c r="P56" s="5"/>
      <c r="Q56" s="5"/>
    </row>
    <row r="57" ht="15.75" customHeight="1">
      <c r="A57" s="6" t="s">
        <v>279</v>
      </c>
      <c r="B57" s="6" t="s">
        <v>280</v>
      </c>
      <c r="C57" s="6" t="s">
        <v>26</v>
      </c>
      <c r="D57" s="6"/>
      <c r="E57" s="6"/>
      <c r="F57" s="7">
        <v>0.03</v>
      </c>
      <c r="G57" s="8">
        <v>150.0</v>
      </c>
      <c r="H57" s="8">
        <v>3200.0</v>
      </c>
      <c r="I57" s="9">
        <f t="shared" si="1"/>
        <v>3350</v>
      </c>
      <c r="J57" s="7">
        <v>120.0</v>
      </c>
      <c r="K57" s="7">
        <v>60.0</v>
      </c>
      <c r="L57" s="7">
        <v>1.0</v>
      </c>
      <c r="M57" s="7" t="s">
        <v>30</v>
      </c>
      <c r="N57" s="7" t="s">
        <v>31</v>
      </c>
      <c r="O57" s="7" t="s">
        <v>30</v>
      </c>
      <c r="P57" s="5"/>
      <c r="Q57" s="5"/>
    </row>
    <row r="58" ht="15.75" customHeight="1">
      <c r="A58" s="6" t="s">
        <v>281</v>
      </c>
      <c r="B58" s="6" t="s">
        <v>282</v>
      </c>
      <c r="C58" s="6" t="s">
        <v>26</v>
      </c>
      <c r="D58" s="6"/>
      <c r="E58" s="6"/>
      <c r="F58" s="7">
        <v>0.03</v>
      </c>
      <c r="G58" s="8">
        <v>150.0</v>
      </c>
      <c r="H58" s="8">
        <v>3200.0</v>
      </c>
      <c r="I58" s="9">
        <f t="shared" si="1"/>
        <v>3350</v>
      </c>
      <c r="J58" s="7">
        <v>120.0</v>
      </c>
      <c r="K58" s="7">
        <v>60.0</v>
      </c>
      <c r="L58" s="7">
        <v>1.0</v>
      </c>
      <c r="M58" s="7" t="s">
        <v>30</v>
      </c>
      <c r="N58" s="7" t="s">
        <v>31</v>
      </c>
      <c r="O58" s="7" t="s">
        <v>30</v>
      </c>
      <c r="P58" s="5"/>
      <c r="Q58" s="5"/>
    </row>
    <row r="59" ht="15.75" customHeight="1">
      <c r="A59" s="6" t="s">
        <v>283</v>
      </c>
      <c r="B59" s="6" t="s">
        <v>284</v>
      </c>
      <c r="C59" s="6" t="s">
        <v>36</v>
      </c>
      <c r="D59" s="6" t="s">
        <v>285</v>
      </c>
      <c r="E59" s="6"/>
      <c r="F59" s="7">
        <v>0.03</v>
      </c>
      <c r="G59" s="8">
        <v>150.0</v>
      </c>
      <c r="H59" s="8">
        <v>3200.0</v>
      </c>
      <c r="I59" s="9">
        <f t="shared" si="1"/>
        <v>3350</v>
      </c>
      <c r="J59" s="7">
        <v>120.0</v>
      </c>
      <c r="K59" s="7">
        <v>60.0</v>
      </c>
      <c r="L59" s="7">
        <v>1.0</v>
      </c>
      <c r="M59" s="7" t="s">
        <v>30</v>
      </c>
      <c r="N59" s="7" t="s">
        <v>31</v>
      </c>
      <c r="O59" s="7" t="s">
        <v>30</v>
      </c>
      <c r="P59" s="5"/>
      <c r="Q59" s="5"/>
    </row>
    <row r="60" ht="15.75" customHeight="1">
      <c r="A60" s="6" t="s">
        <v>286</v>
      </c>
      <c r="B60" s="6" t="s">
        <v>287</v>
      </c>
      <c r="C60" s="6" t="s">
        <v>26</v>
      </c>
      <c r="D60" s="6"/>
      <c r="E60" s="6"/>
      <c r="F60" s="7">
        <v>0.03</v>
      </c>
      <c r="G60" s="8">
        <v>150.0</v>
      </c>
      <c r="H60" s="8">
        <v>3200.0</v>
      </c>
      <c r="I60" s="9">
        <f t="shared" si="1"/>
        <v>3350</v>
      </c>
      <c r="J60" s="7">
        <v>120.0</v>
      </c>
      <c r="K60" s="7">
        <v>60.0</v>
      </c>
      <c r="L60" s="7">
        <v>1.0</v>
      </c>
      <c r="M60" s="7" t="s">
        <v>30</v>
      </c>
      <c r="N60" s="7" t="s">
        <v>31</v>
      </c>
      <c r="O60" s="7" t="s">
        <v>30</v>
      </c>
      <c r="P60" s="5"/>
      <c r="Q60" s="5"/>
    </row>
    <row r="61" ht="15.75" customHeight="1">
      <c r="A61" s="6" t="s">
        <v>288</v>
      </c>
      <c r="B61" s="6" t="s">
        <v>289</v>
      </c>
      <c r="C61" s="6" t="s">
        <v>26</v>
      </c>
      <c r="D61" s="6"/>
      <c r="E61" s="6"/>
      <c r="F61" s="7">
        <v>0.03</v>
      </c>
      <c r="G61" s="8">
        <v>150.0</v>
      </c>
      <c r="H61" s="8">
        <v>3200.0</v>
      </c>
      <c r="I61" s="9">
        <f t="shared" si="1"/>
        <v>3350</v>
      </c>
      <c r="J61" s="7">
        <v>120.0</v>
      </c>
      <c r="K61" s="7">
        <v>60.0</v>
      </c>
      <c r="L61" s="7">
        <v>1.0</v>
      </c>
      <c r="M61" s="7" t="s">
        <v>30</v>
      </c>
      <c r="N61" s="7" t="s">
        <v>31</v>
      </c>
      <c r="O61" s="7" t="s">
        <v>30</v>
      </c>
      <c r="P61" s="5"/>
      <c r="Q61" s="5"/>
    </row>
    <row r="62" ht="15.75" customHeight="1">
      <c r="A62" s="6" t="s">
        <v>290</v>
      </c>
      <c r="B62" s="6" t="s">
        <v>291</v>
      </c>
      <c r="C62" s="6" t="s">
        <v>26</v>
      </c>
      <c r="D62" s="6"/>
      <c r="E62" s="6"/>
      <c r="F62" s="7">
        <v>0.03</v>
      </c>
      <c r="G62" s="8">
        <v>150.0</v>
      </c>
      <c r="H62" s="8">
        <v>3200.0</v>
      </c>
      <c r="I62" s="9">
        <f t="shared" si="1"/>
        <v>3350</v>
      </c>
      <c r="J62" s="7">
        <v>120.0</v>
      </c>
      <c r="K62" s="7">
        <v>60.0</v>
      </c>
      <c r="L62" s="7">
        <v>1.0</v>
      </c>
      <c r="M62" s="7" t="s">
        <v>30</v>
      </c>
      <c r="N62" s="7" t="s">
        <v>31</v>
      </c>
      <c r="O62" s="7" t="s">
        <v>30</v>
      </c>
      <c r="P62" s="5"/>
      <c r="Q62" s="5"/>
    </row>
    <row r="63" ht="15.75" customHeight="1">
      <c r="A63" s="6" t="s">
        <v>292</v>
      </c>
      <c r="B63" s="6" t="s">
        <v>293</v>
      </c>
      <c r="C63" s="6" t="s">
        <v>26</v>
      </c>
      <c r="D63" s="6"/>
      <c r="E63" s="6"/>
      <c r="F63" s="7">
        <v>0.03</v>
      </c>
      <c r="G63" s="8">
        <v>150.0</v>
      </c>
      <c r="H63" s="8">
        <v>3200.0</v>
      </c>
      <c r="I63" s="9">
        <f t="shared" si="1"/>
        <v>3350</v>
      </c>
      <c r="J63" s="7">
        <v>120.0</v>
      </c>
      <c r="K63" s="7">
        <v>60.0</v>
      </c>
      <c r="L63" s="7">
        <v>1.0</v>
      </c>
      <c r="M63" s="7" t="s">
        <v>30</v>
      </c>
      <c r="N63" s="7" t="s">
        <v>31</v>
      </c>
      <c r="O63" s="7" t="s">
        <v>30</v>
      </c>
      <c r="P63" s="5"/>
      <c r="Q63" s="5"/>
    </row>
    <row r="64" ht="15.75" customHeight="1">
      <c r="A64" s="6" t="s">
        <v>294</v>
      </c>
      <c r="B64" s="6" t="s">
        <v>295</v>
      </c>
      <c r="C64" s="6" t="s">
        <v>26</v>
      </c>
      <c r="D64" s="6"/>
      <c r="E64" s="6"/>
      <c r="F64" s="7">
        <v>0.03</v>
      </c>
      <c r="G64" s="8">
        <v>150.0</v>
      </c>
      <c r="H64" s="8">
        <v>3200.0</v>
      </c>
      <c r="I64" s="9">
        <f t="shared" si="1"/>
        <v>3350</v>
      </c>
      <c r="J64" s="7">
        <v>120.0</v>
      </c>
      <c r="K64" s="7">
        <v>60.0</v>
      </c>
      <c r="L64" s="7">
        <v>1.0</v>
      </c>
      <c r="M64" s="7" t="s">
        <v>30</v>
      </c>
      <c r="N64" s="7" t="s">
        <v>31</v>
      </c>
      <c r="O64" s="7" t="s">
        <v>30</v>
      </c>
      <c r="P64" s="5"/>
      <c r="Q64" s="5"/>
    </row>
    <row r="65" ht="15.75" customHeight="1">
      <c r="A65" s="6" t="s">
        <v>296</v>
      </c>
      <c r="B65" s="6" t="s">
        <v>297</v>
      </c>
      <c r="C65" s="6" t="s">
        <v>26</v>
      </c>
      <c r="D65" s="6"/>
      <c r="E65" s="6"/>
      <c r="F65" s="7">
        <v>0.03</v>
      </c>
      <c r="G65" s="8">
        <v>150.0</v>
      </c>
      <c r="H65" s="8">
        <v>3200.0</v>
      </c>
      <c r="I65" s="9">
        <f t="shared" si="1"/>
        <v>3350</v>
      </c>
      <c r="J65" s="7">
        <v>120.0</v>
      </c>
      <c r="K65" s="7">
        <v>60.0</v>
      </c>
      <c r="L65" s="7">
        <v>1.0</v>
      </c>
      <c r="M65" s="7" t="s">
        <v>30</v>
      </c>
      <c r="N65" s="7" t="s">
        <v>31</v>
      </c>
      <c r="O65" s="7" t="s">
        <v>30</v>
      </c>
      <c r="P65" s="5"/>
      <c r="Q65" s="5"/>
    </row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0"/>
    <col customWidth="1" min="2" max="2" width="30.0"/>
    <col customWidth="1" min="3" max="3" width="11.0"/>
    <col customWidth="1" min="4" max="4" width="22.0"/>
    <col customWidth="1" min="5" max="5" width="12.0"/>
    <col customWidth="1" min="6" max="6" width="11.0"/>
    <col customWidth="1" min="7" max="8" width="15.0"/>
    <col customWidth="1" min="9" max="9" width="13.0"/>
    <col customWidth="1" min="10" max="12" width="9.0"/>
    <col customWidth="1" min="13" max="13" width="17.0"/>
    <col customWidth="1" min="14" max="14" width="11.0"/>
    <col customWidth="1" min="15" max="15" width="15.0"/>
    <col customWidth="1" min="16" max="16" width="22.0"/>
    <col customWidth="1" min="17" max="17" width="28.0"/>
    <col customWidth="1" min="18" max="26" width="8.71"/>
  </cols>
  <sheetData>
    <row r="1">
      <c r="A1" s="4" t="s">
        <v>5</v>
      </c>
      <c r="B1" s="4" t="s">
        <v>8</v>
      </c>
      <c r="C1" s="4" t="s">
        <v>9</v>
      </c>
      <c r="D1" s="4" t="s">
        <v>10</v>
      </c>
      <c r="E1" s="4" t="s">
        <v>11</v>
      </c>
      <c r="F1" s="4" t="s">
        <v>12</v>
      </c>
      <c r="G1" s="4" t="s">
        <v>13</v>
      </c>
      <c r="H1" s="4" t="s">
        <v>14</v>
      </c>
      <c r="I1" s="4" t="s">
        <v>15</v>
      </c>
      <c r="J1" s="4" t="s">
        <v>16</v>
      </c>
      <c r="K1" s="4" t="s">
        <v>17</v>
      </c>
      <c r="L1" s="4" t="s">
        <v>18</v>
      </c>
      <c r="M1" s="4" t="s">
        <v>19</v>
      </c>
      <c r="N1" s="4" t="s">
        <v>20</v>
      </c>
      <c r="O1" s="4" t="s">
        <v>21</v>
      </c>
      <c r="P1" s="4" t="s">
        <v>22</v>
      </c>
      <c r="Q1" s="4" t="s">
        <v>23</v>
      </c>
    </row>
    <row r="2">
      <c r="A2" s="6" t="s">
        <v>223</v>
      </c>
      <c r="B2" s="6" t="s">
        <v>226</v>
      </c>
      <c r="C2" s="11" t="s">
        <v>36</v>
      </c>
      <c r="D2" s="11" t="s">
        <v>227</v>
      </c>
      <c r="E2" s="6"/>
      <c r="F2" s="7">
        <v>0.03</v>
      </c>
      <c r="G2" s="8">
        <v>150.0</v>
      </c>
      <c r="H2" s="7">
        <v>5000.0</v>
      </c>
      <c r="I2" s="5"/>
      <c r="J2" s="7">
        <v>120.0</v>
      </c>
      <c r="K2" s="7">
        <v>165.0</v>
      </c>
      <c r="L2" s="7">
        <v>1.0</v>
      </c>
      <c r="M2" s="7" t="s">
        <v>30</v>
      </c>
      <c r="N2" s="7" t="s">
        <v>31</v>
      </c>
      <c r="O2" s="7" t="s">
        <v>30</v>
      </c>
      <c r="P2" s="7" t="s">
        <v>30</v>
      </c>
      <c r="Q2" s="7" t="s">
        <v>232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0"/>
    <col customWidth="1" min="2" max="2" width="30.0"/>
    <col customWidth="1" min="3" max="3" width="11.0"/>
    <col customWidth="1" min="4" max="4" width="22.0"/>
    <col customWidth="1" min="5" max="5" width="12.0"/>
    <col customWidth="1" min="6" max="6" width="11.0"/>
    <col customWidth="1" min="7" max="8" width="15.0"/>
    <col customWidth="1" min="9" max="9" width="13.0"/>
    <col customWidth="1" min="10" max="12" width="9.0"/>
    <col customWidth="1" min="13" max="13" width="17.0"/>
    <col customWidth="1" min="14" max="14" width="11.0"/>
    <col customWidth="1" min="15" max="15" width="15.0"/>
    <col customWidth="1" min="16" max="16" width="22.0"/>
    <col customWidth="1" min="17" max="17" width="28.0"/>
    <col customWidth="1" min="18" max="26" width="8.71"/>
  </cols>
  <sheetData>
    <row r="1">
      <c r="A1" s="4" t="s">
        <v>5</v>
      </c>
      <c r="B1" s="4" t="s">
        <v>8</v>
      </c>
      <c r="C1" s="4" t="s">
        <v>9</v>
      </c>
      <c r="D1" s="4" t="s">
        <v>10</v>
      </c>
      <c r="E1" s="4" t="s">
        <v>11</v>
      </c>
      <c r="F1" s="4" t="s">
        <v>12</v>
      </c>
      <c r="G1" s="4" t="s">
        <v>13</v>
      </c>
      <c r="H1" s="4" t="s">
        <v>14</v>
      </c>
      <c r="I1" s="4" t="s">
        <v>15</v>
      </c>
      <c r="J1" s="4" t="s">
        <v>16</v>
      </c>
      <c r="K1" s="4" t="s">
        <v>17</v>
      </c>
      <c r="L1" s="4" t="s">
        <v>18</v>
      </c>
      <c r="M1" s="4" t="s">
        <v>19</v>
      </c>
      <c r="N1" s="4" t="s">
        <v>20</v>
      </c>
      <c r="O1" s="4" t="s">
        <v>21</v>
      </c>
      <c r="P1" s="4" t="s">
        <v>22</v>
      </c>
      <c r="Q1" s="4" t="s">
        <v>23</v>
      </c>
    </row>
    <row r="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</row>
    <row r="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</row>
    <row r="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</row>
    <row r="6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</row>
    <row r="7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